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6cf7f511774971/Desktop/"/>
    </mc:Choice>
  </mc:AlternateContent>
  <xr:revisionPtr revIDLastSave="0" documentId="8_{AC207880-93F9-4C26-8224-47CE39D65BFB}" xr6:coauthVersionLast="47" xr6:coauthVersionMax="47" xr10:uidLastSave="{00000000-0000-0000-0000-000000000000}"/>
  <bookViews>
    <workbookView xWindow="-110" yWindow="-110" windowWidth="19420" windowHeight="10300" xr2:uid="{437D2E68-2AD4-4B9D-8053-EF3F8EDB57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6" i="1" l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</calcChain>
</file>

<file path=xl/sharedStrings.xml><?xml version="1.0" encoding="utf-8"?>
<sst xmlns="http://schemas.openxmlformats.org/spreadsheetml/2006/main" count="861" uniqueCount="391">
  <si>
    <t>1. ACADEMIC CALENDAR DATASET (S1 &amp; S2)</t>
  </si>
  <si>
    <t>Academic Semester</t>
  </si>
  <si>
    <t>Academic Week</t>
  </si>
  <si>
    <t>Calendar Week</t>
  </si>
  <si>
    <t>Date Range</t>
  </si>
  <si>
    <t>Week Start</t>
  </si>
  <si>
    <t>Week End</t>
  </si>
  <si>
    <t>2022-09-26/2022-10-02</t>
  </si>
  <si>
    <t>26/09/2022</t>
  </si>
  <si>
    <t>2022-10-03/2022-10-09</t>
  </si>
  <si>
    <t>2022-10-10/2022-10-16</t>
  </si>
  <si>
    <t>16/10/2022</t>
  </si>
  <si>
    <t>2022-10-17/2022-10-23</t>
  </si>
  <si>
    <t>17/10/2022</t>
  </si>
  <si>
    <t>23/10/2022</t>
  </si>
  <si>
    <t>2022-10-24/2022-10-30</t>
  </si>
  <si>
    <t>24/10/2022</t>
  </si>
  <si>
    <t>30/10/2022</t>
  </si>
  <si>
    <t>2022-10-31/2022-11-06</t>
  </si>
  <si>
    <t>31/10/2022</t>
  </si>
  <si>
    <t>2022-11-07/2022-11-13</t>
  </si>
  <si>
    <t>13/11/2022</t>
  </si>
  <si>
    <t>2022-11-14/2022-11-20</t>
  </si>
  <si>
    <t>14/11/2022</t>
  </si>
  <si>
    <t>20/11/2022</t>
  </si>
  <si>
    <t>2022-11-21/2022-11-27</t>
  </si>
  <si>
    <t>21/11/2022</t>
  </si>
  <si>
    <t>27/11/2022</t>
  </si>
  <si>
    <t>2022-11-28/2022-12-04</t>
  </si>
  <si>
    <t>28/11/2022</t>
  </si>
  <si>
    <t>2022-12-05/2022-12-11</t>
  </si>
  <si>
    <t>2022-12-12/2022-12-18</t>
  </si>
  <si>
    <t>18/12/2022</t>
  </si>
  <si>
    <t>2023-01-02/2023-01-08</t>
  </si>
  <si>
    <t>2023-01-23/2023-01-29</t>
  </si>
  <si>
    <t>23/01/2023</t>
  </si>
  <si>
    <t>29/01/2023</t>
  </si>
  <si>
    <t>2023-01-30/2023-02-05</t>
  </si>
  <si>
    <t>30/01/2023</t>
  </si>
  <si>
    <t>2023-02-06/2023-02-12</t>
  </si>
  <si>
    <t>2023-02-13/2023-02-19</t>
  </si>
  <si>
    <t>13/02/2023</t>
  </si>
  <si>
    <t>19/02/2023</t>
  </si>
  <si>
    <t>2023-02-20/2023-02-26</t>
  </si>
  <si>
    <t>20/02/2023</t>
  </si>
  <si>
    <t>26/02/2023</t>
  </si>
  <si>
    <t>2023-02-27/2023-03-05</t>
  </si>
  <si>
    <t>27/02/2023</t>
  </si>
  <si>
    <t>2023-03-06/2023-03-12</t>
  </si>
  <si>
    <t>2023-03-13/2023-03-19</t>
  </si>
  <si>
    <t>13/03/2023</t>
  </si>
  <si>
    <t>19/03/2023</t>
  </si>
  <si>
    <t>2023-03-20/2023-03-26</t>
  </si>
  <si>
    <t>20/03/2023</t>
  </si>
  <si>
    <t>26/03/2023</t>
  </si>
  <si>
    <t>2023-03-27/2023-04-02</t>
  </si>
  <si>
    <t>27/03/2023</t>
  </si>
  <si>
    <t>2023-04-24/2023-04-30</t>
  </si>
  <si>
    <t>24/04/2023</t>
  </si>
  <si>
    <t>30/04/2023</t>
  </si>
  <si>
    <t>2023-05-01/2023-05-07</t>
  </si>
  <si>
    <t>2023-05-08/2023-05-14</t>
  </si>
  <si>
    <t>14/05/2023</t>
  </si>
  <si>
    <t>2. COURSE DATASET</t>
  </si>
  <si>
    <t>Course ID</t>
  </si>
  <si>
    <t>Course Name</t>
  </si>
  <si>
    <t>Instructor</t>
  </si>
  <si>
    <t>Department</t>
  </si>
  <si>
    <t>Students</t>
  </si>
  <si>
    <t>Credits</t>
  </si>
  <si>
    <t>Semester</t>
  </si>
  <si>
    <t>Sessions/Week</t>
  </si>
  <si>
    <t>Duration (Hours)</t>
  </si>
  <si>
    <t>CO101</t>
  </si>
  <si>
    <t>Data Structures</t>
  </si>
  <si>
    <t>Dr. Smith</t>
  </si>
  <si>
    <t>Computer Science</t>
  </si>
  <si>
    <t>CO102</t>
  </si>
  <si>
    <t>Algorithms</t>
  </si>
  <si>
    <t>Dr. Johnson</t>
  </si>
  <si>
    <t>CO103</t>
  </si>
  <si>
    <t>Database Systems</t>
  </si>
  <si>
    <t>Dr. Garcia</t>
  </si>
  <si>
    <t>CO104</t>
  </si>
  <si>
    <t>Operating Systems</t>
  </si>
  <si>
    <t>Dr. Taylor</t>
  </si>
  <si>
    <t>CO105</t>
  </si>
  <si>
    <t>Computer Networks</t>
  </si>
  <si>
    <t>Dr. Anderson</t>
  </si>
  <si>
    <t>CO106</t>
  </si>
  <si>
    <t>Software Engineering</t>
  </si>
  <si>
    <t>Dr. Martinez</t>
  </si>
  <si>
    <t>CO107</t>
  </si>
  <si>
    <t>Machine Learning</t>
  </si>
  <si>
    <t>MA101</t>
  </si>
  <si>
    <t>Calculus I</t>
  </si>
  <si>
    <t>Dr. Brown</t>
  </si>
  <si>
    <t>Mathematics</t>
  </si>
  <si>
    <t>MA102</t>
  </si>
  <si>
    <t>Linear Algebra</t>
  </si>
  <si>
    <t>Dr. Miller</t>
  </si>
  <si>
    <t>MA103</t>
  </si>
  <si>
    <t>Discrete Mathematics</t>
  </si>
  <si>
    <t>Dr. Davis</t>
  </si>
  <si>
    <t>MA104</t>
  </si>
  <si>
    <t>Probability &amp; Statistics</t>
  </si>
  <si>
    <t>Dr. Moore</t>
  </si>
  <si>
    <t>PH101</t>
  </si>
  <si>
    <t>Physics I</t>
  </si>
  <si>
    <t>Dr. Wilson</t>
  </si>
  <si>
    <t>Physics</t>
  </si>
  <si>
    <t>PH102</t>
  </si>
  <si>
    <t>Quantum Mechanics</t>
  </si>
  <si>
    <t>Dr. Rodriguez</t>
  </si>
  <si>
    <t>PH103</t>
  </si>
  <si>
    <t>Thermodynamics</t>
  </si>
  <si>
    <t>Dr. Thomas</t>
  </si>
  <si>
    <t>CH101</t>
  </si>
  <si>
    <t>Organic Chemistry</t>
  </si>
  <si>
    <t>Dr. Williams</t>
  </si>
  <si>
    <t>Chemistry</t>
  </si>
  <si>
    <t>CH102</t>
  </si>
  <si>
    <t>Inorganic Chemistry</t>
  </si>
  <si>
    <t>Dr. Jones</t>
  </si>
  <si>
    <t>EN101</t>
  </si>
  <si>
    <t>Circuit Analysis</t>
  </si>
  <si>
    <t>Dr. Jackson</t>
  </si>
  <si>
    <t>Engineering</t>
  </si>
  <si>
    <t>EN102</t>
  </si>
  <si>
    <t>Digital Logic Design</t>
  </si>
  <si>
    <t>EN103</t>
  </si>
  <si>
    <t>Signals &amp; Systems</t>
  </si>
  <si>
    <t>EN104</t>
  </si>
  <si>
    <t>Control Systems</t>
  </si>
  <si>
    <t>3. ROOM DATASET</t>
  </si>
  <si>
    <t>Room ID</t>
  </si>
  <si>
    <t>Room Name</t>
  </si>
  <si>
    <t>Capacity</t>
  </si>
  <si>
    <t>Room Type</t>
  </si>
  <si>
    <t>Building</t>
  </si>
  <si>
    <t>Floor</t>
  </si>
  <si>
    <t>Equipment</t>
  </si>
  <si>
    <t>LH001</t>
  </si>
  <si>
    <t>Lecture Hall 1</t>
  </si>
  <si>
    <t>Lecture Hall</t>
  </si>
  <si>
    <t>Main Building</t>
  </si>
  <si>
    <t>Ground</t>
  </si>
  <si>
    <t>Projector, Audio System, Whiteboard</t>
  </si>
  <si>
    <t>LH002</t>
  </si>
  <si>
    <t>Lecture Hall 2</t>
  </si>
  <si>
    <t>Projector, Audio System, Smart Board</t>
  </si>
  <si>
    <t>LH003</t>
  </si>
  <si>
    <t>Lecture Hall 3</t>
  </si>
  <si>
    <t>Science Block</t>
  </si>
  <si>
    <t>1st Floor</t>
  </si>
  <si>
    <t>Projector, Whiteboard</t>
  </si>
  <si>
    <t>CL001</t>
  </si>
  <si>
    <t>Classroom 1</t>
  </si>
  <si>
    <t>Classroom</t>
  </si>
  <si>
    <t>CL002</t>
  </si>
  <si>
    <t>Classroom 2</t>
  </si>
  <si>
    <t>CL003</t>
  </si>
  <si>
    <t>Classroom 3</t>
  </si>
  <si>
    <t>2nd Floor</t>
  </si>
  <si>
    <t>Smart Board, Computer</t>
  </si>
  <si>
    <t>CL004</t>
  </si>
  <si>
    <t>Classroom 4</t>
  </si>
  <si>
    <t>CL005</t>
  </si>
  <si>
    <t>Classroom 5</t>
  </si>
  <si>
    <t>Engineering Block</t>
  </si>
  <si>
    <t>CL006</t>
  </si>
  <si>
    <t>Classroom 6</t>
  </si>
  <si>
    <t>Smart Board, Projector</t>
  </si>
  <si>
    <t>LA001</t>
  </si>
  <si>
    <t>Computer Lab 1</t>
  </si>
  <si>
    <t>Lab</t>
  </si>
  <si>
    <t>Computer Center</t>
  </si>
  <si>
    <t>30 Computers, Projector, Network</t>
  </si>
  <si>
    <t>LA002</t>
  </si>
  <si>
    <t>Computer Lab 2</t>
  </si>
  <si>
    <t>32 Computers, Projector, Network</t>
  </si>
  <si>
    <t>LA003</t>
  </si>
  <si>
    <t>Physics Lab</t>
  </si>
  <si>
    <t>Experimental Equipment, Benches</t>
  </si>
  <si>
    <t>LA004</t>
  </si>
  <si>
    <t>Chemistry Lab</t>
  </si>
  <si>
    <t>Fume Hoods, Safety Equipment</t>
  </si>
  <si>
    <t>SR001</t>
  </si>
  <si>
    <t>Seminar Room 1</t>
  </si>
  <si>
    <t>Seminar Room</t>
  </si>
  <si>
    <t>3rd Floor</t>
  </si>
  <si>
    <t>Round Table, TV, Video Conference</t>
  </si>
  <si>
    <t>SR002</t>
  </si>
  <si>
    <t>Seminar Room 2</t>
  </si>
  <si>
    <t>4. INSTRUCTOR DATASET (Faculty Info &amp; Availability)</t>
  </si>
  <si>
    <t>4.1 Faculty Information</t>
  </si>
  <si>
    <t>Instructor ID</t>
  </si>
  <si>
    <t>Name</t>
  </si>
  <si>
    <t>Designation</t>
  </si>
  <si>
    <t>Email</t>
  </si>
  <si>
    <t>Office</t>
  </si>
  <si>
    <t>Phone</t>
  </si>
  <si>
    <t>Courses Teaching</t>
  </si>
  <si>
    <t>INS001</t>
  </si>
  <si>
    <t>Professor</t>
  </si>
  <si>
    <t>smith@university.edu</t>
  </si>
  <si>
    <t>CS-301</t>
  </si>
  <si>
    <t>CO101, CO107</t>
  </si>
  <si>
    <t>INS002</t>
  </si>
  <si>
    <t>Associate Professor</t>
  </si>
  <si>
    <t>johnson@university.edu</t>
  </si>
  <si>
    <t>CS-302</t>
  </si>
  <si>
    <t>INS003</t>
  </si>
  <si>
    <t>williams@university.edu</t>
  </si>
  <si>
    <t>CH-201</t>
  </si>
  <si>
    <t>INS004</t>
  </si>
  <si>
    <t>brown@university.edu</t>
  </si>
  <si>
    <t>MA-401</t>
  </si>
  <si>
    <t>MA101, EN102</t>
  </si>
  <si>
    <t>INS005</t>
  </si>
  <si>
    <t>jones@university.edu</t>
  </si>
  <si>
    <t>CH-202</t>
  </si>
  <si>
    <t>INS006</t>
  </si>
  <si>
    <t>Assistant Professor</t>
  </si>
  <si>
    <t>garcia@university.edu</t>
  </si>
  <si>
    <t>CS-303</t>
  </si>
  <si>
    <t>CO103, EN103</t>
  </si>
  <si>
    <t>INS007</t>
  </si>
  <si>
    <t>miller@university.edu</t>
  </si>
  <si>
    <t>MA-402</t>
  </si>
  <si>
    <t>INS008</t>
  </si>
  <si>
    <t>davis@university.edu</t>
  </si>
  <si>
    <t>MA-403</t>
  </si>
  <si>
    <t>INS009</t>
  </si>
  <si>
    <t>rodriguez@university.edu</t>
  </si>
  <si>
    <t>PH-101</t>
  </si>
  <si>
    <t>INS010</t>
  </si>
  <si>
    <t>martinez@university.edu</t>
  </si>
  <si>
    <t>CS-304</t>
  </si>
  <si>
    <t>INS011</t>
  </si>
  <si>
    <t>anderson@university.edu</t>
  </si>
  <si>
    <t>EN-501</t>
  </si>
  <si>
    <t>CO105, EN104</t>
  </si>
  <si>
    <t>INS012</t>
  </si>
  <si>
    <t>taylor@university.edu</t>
  </si>
  <si>
    <t>CS-305</t>
  </si>
  <si>
    <t>INS013</t>
  </si>
  <si>
    <t>thomas@university.edu</t>
  </si>
  <si>
    <t>PH-102</t>
  </si>
  <si>
    <t>INS014</t>
  </si>
  <si>
    <t>moore@university.edu</t>
  </si>
  <si>
    <t>MA-404</t>
  </si>
  <si>
    <t>INS015</t>
  </si>
  <si>
    <t>jackson@university.edu</t>
  </si>
  <si>
    <t>EN-502</t>
  </si>
  <si>
    <t>4.2 Instructor Availability</t>
  </si>
  <si>
    <t>Monday</t>
  </si>
  <si>
    <t>Tuesday</t>
  </si>
  <si>
    <t>Wednesday</t>
  </si>
  <si>
    <t>Thursday</t>
  </si>
  <si>
    <t>Friday</t>
  </si>
  <si>
    <t>Available</t>
  </si>
  <si>
    <t>Research Day</t>
  </si>
  <si>
    <t>Meeting (11-13)</t>
  </si>
  <si>
    <t>Lab Work (14-18)</t>
  </si>
  <si>
    <t>Departmental Duties</t>
  </si>
  <si>
    <t>Committee (9-11)</t>
  </si>
  <si>
    <t>Meeting (14-16)</t>
  </si>
  <si>
    <t>Consulting (14-18)</t>
  </si>
  <si>
    <t>Seminar (16-18)</t>
  </si>
  <si>
    <t>Lab Support (9-11)</t>
  </si>
  <si>
    <t>5. TIME SLOT DATASET</t>
  </si>
  <si>
    <t>Slot ID</t>
  </si>
  <si>
    <t>Day</t>
  </si>
  <si>
    <t>Start Time</t>
  </si>
  <si>
    <t>End Time</t>
  </si>
  <si>
    <t>Session Code</t>
  </si>
  <si>
    <t>Period</t>
  </si>
  <si>
    <t>TS001</t>
  </si>
  <si>
    <t>MON-S1</t>
  </si>
  <si>
    <t>Morning</t>
  </si>
  <si>
    <t>TS002</t>
  </si>
  <si>
    <t>MON-S2</t>
  </si>
  <si>
    <t>TS003</t>
  </si>
  <si>
    <t>MON-S3</t>
  </si>
  <si>
    <t>Afternoon</t>
  </si>
  <si>
    <t>TS004</t>
  </si>
  <si>
    <t>MON-S4</t>
  </si>
  <si>
    <t>TS005</t>
  </si>
  <si>
    <t>TUE-S1</t>
  </si>
  <si>
    <t>TS006</t>
  </si>
  <si>
    <t>TUE-S2</t>
  </si>
  <si>
    <t>TS007</t>
  </si>
  <si>
    <t>TUE-S3</t>
  </si>
  <si>
    <t>TS008</t>
  </si>
  <si>
    <t>TUE-S4</t>
  </si>
  <si>
    <t>TS009</t>
  </si>
  <si>
    <t>WED-S1</t>
  </si>
  <si>
    <t>TS010</t>
  </si>
  <si>
    <t>WED-S2</t>
  </si>
  <si>
    <t>TS011</t>
  </si>
  <si>
    <t>WED-S3</t>
  </si>
  <si>
    <t>TS012</t>
  </si>
  <si>
    <t>WED-S4</t>
  </si>
  <si>
    <t>TS013</t>
  </si>
  <si>
    <t>THU-S1</t>
  </si>
  <si>
    <t>TS014</t>
  </si>
  <si>
    <t>THU-S2</t>
  </si>
  <si>
    <t>TS015</t>
  </si>
  <si>
    <t>THU-S3</t>
  </si>
  <si>
    <t>TS016</t>
  </si>
  <si>
    <t>THU-S4</t>
  </si>
  <si>
    <t>TS017</t>
  </si>
  <si>
    <t>FRI-S1</t>
  </si>
  <si>
    <t>TS018</t>
  </si>
  <si>
    <t>FRI-S2</t>
  </si>
  <si>
    <t>TS019</t>
  </si>
  <si>
    <t>FRI-S3</t>
  </si>
  <si>
    <t>TS020</t>
  </si>
  <si>
    <t>FRI-S4</t>
  </si>
  <si>
    <t>6. DEPARTMENT DATASET</t>
  </si>
  <si>
    <t>Dept ID</t>
  </si>
  <si>
    <t>Department Name</t>
  </si>
  <si>
    <t>Head of Department</t>
  </si>
  <si>
    <t>Total Faculty</t>
  </si>
  <si>
    <t>Total Courses</t>
  </si>
  <si>
    <t>Total Students</t>
  </si>
  <si>
    <t>DEPT01</t>
  </si>
  <si>
    <t>Main Building &amp; Computer Center</t>
  </si>
  <si>
    <t>DEPT02</t>
  </si>
  <si>
    <t>DEPT03</t>
  </si>
  <si>
    <t>DEPT04</t>
  </si>
  <si>
    <t>DEPT05</t>
  </si>
  <si>
    <t>7. CONSTRAINT DATASET</t>
  </si>
  <si>
    <t>7.1 Hard Constraints (Must be satisfied)</t>
  </si>
  <si>
    <t>Constraint ID</t>
  </si>
  <si>
    <t>Constraint Type</t>
  </si>
  <si>
    <t>Description</t>
  </si>
  <si>
    <t>Penalty Weight</t>
  </si>
  <si>
    <t>Priority</t>
  </si>
  <si>
    <t>HC01</t>
  </si>
  <si>
    <t>Room Conflict</t>
  </si>
  <si>
    <t>No two courses can use same room at same time</t>
  </si>
  <si>
    <t>Critical</t>
  </si>
  <si>
    <t>HC02</t>
  </si>
  <si>
    <t>Instructor Conflict</t>
  </si>
  <si>
    <t>Instructor cannot teach two courses simultaneously</t>
  </si>
  <si>
    <t>HC03</t>
  </si>
  <si>
    <t>Room Capacity</t>
  </si>
  <si>
    <t>Room capacity must be ≥ number of students</t>
  </si>
  <si>
    <t>HC04</t>
  </si>
  <si>
    <t>Time Availability</t>
  </si>
  <si>
    <t>Courses must be scheduled within operating hours</t>
  </si>
  <si>
    <t>HC05</t>
  </si>
  <si>
    <t>Session Count</t>
  </si>
  <si>
    <t>Each course must have required number of sessions</t>
  </si>
  <si>
    <t>High</t>
  </si>
  <si>
    <t>7.2 Soft Constraints (Preferences)</t>
  </si>
  <si>
    <t>SC01</t>
  </si>
  <si>
    <t>Session Distribution</t>
  </si>
  <si>
    <t>Course sessions should be on different days</t>
  </si>
  <si>
    <t>Medium</t>
  </si>
  <si>
    <t>SC02</t>
  </si>
  <si>
    <t>Room Type Match</t>
  </si>
  <si>
    <t>Labs should be in lab rooms</t>
  </si>
  <si>
    <t>Low</t>
  </si>
  <si>
    <t>SC03</t>
  </si>
  <si>
    <t>Time Preference</t>
  </si>
  <si>
    <t>Avoid very early or very late slots</t>
  </si>
  <si>
    <t>SC04</t>
  </si>
  <si>
    <t>Consecutive Sessions</t>
  </si>
  <si>
    <t>Avoid back-to-back sessions for same course</t>
  </si>
  <si>
    <t>SC05</t>
  </si>
  <si>
    <t>Peak Hour Balance</t>
  </si>
  <si>
    <t>Distribute courses evenly across peak hours</t>
  </si>
  <si>
    <t>8. SAMPLE ASSIGNMENT DATASET (Week 1 Schedule)</t>
  </si>
  <si>
    <t>Monday Schedule</t>
  </si>
  <si>
    <t>Time</t>
  </si>
  <si>
    <t>Room</t>
  </si>
  <si>
    <t>Course</t>
  </si>
  <si>
    <t>Session Type</t>
  </si>
  <si>
    <t>09:00-11:00</t>
  </si>
  <si>
    <t>Lecture</t>
  </si>
  <si>
    <t>Lab Session</t>
  </si>
  <si>
    <t>11:00-13:00</t>
  </si>
  <si>
    <t>14:00-16:00</t>
  </si>
  <si>
    <t>16:00-18:00</t>
  </si>
  <si>
    <t>Tuesday Schedule</t>
  </si>
  <si>
    <t>Tutorial</t>
  </si>
  <si>
    <t>Wednesday Schedule</t>
  </si>
  <si>
    <t>Thursday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</si>
</sst>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rgb="FF3B82F6"/>
      <name val="Arial"/>
      <family val="2"/>
    </font>
    <font>
      <b/>
      <sz val="10"/>
      <color rgb="FF1E40AF"/>
      <name val="Arial"/>
      <family val="2"/>
    </font>
    <font>
      <sz val="10"/>
      <color theme="1"/>
      <name val="Arial"/>
      <family val="2"/>
    </font>
    <font>
      <b/>
      <sz val="13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20" fontId="3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1781-ACF9-4B59-A0AF-14C33E57B958}">
  <dimension ref="A1:I216"/>
  <sheetViews>
    <sheetView tabSelected="1" topLeftCell="A108" workbookViewId="0">
      <selection sqref="A1:I216"/>
    </sheetView>
  </sheetViews>
  <sheetFormatPr defaultRowHeight="14.5" x14ac:dyDescent="0.35"/>
  <sheetData>
    <row r="1" spans="1:6" ht="220" x14ac:dyDescent="0.35">
      <c r="A1" s="2" t="s">
        <v>0</v>
      </c>
    </row>
    <row r="2" spans="1:6" ht="15" thickBot="1" x14ac:dyDescent="0.4">
      <c r="A2" s="1"/>
    </row>
    <row r="3" spans="1:6" ht="52.5" thickBot="1" x14ac:dyDescent="0.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38" thickBot="1" x14ac:dyDescent="0.4">
      <c r="A4" s="4">
        <v>1</v>
      </c>
      <c r="B4" s="4">
        <v>1</v>
      </c>
      <c r="C4" s="4">
        <v>39</v>
      </c>
      <c r="D4" s="4" t="s">
        <v>7</v>
      </c>
      <c r="E4" s="4" t="s">
        <v>8</v>
      </c>
      <c r="F4" s="5">
        <v>44602</v>
      </c>
    </row>
    <row r="5" spans="1:6" ht="38" thickBot="1" x14ac:dyDescent="0.4">
      <c r="A5" s="4">
        <v>1</v>
      </c>
      <c r="B5" s="4">
        <v>2</v>
      </c>
      <c r="C5" s="4">
        <v>40</v>
      </c>
      <c r="D5" s="4" t="s">
        <v>9</v>
      </c>
      <c r="E5" s="5">
        <v>44630</v>
      </c>
      <c r="F5" s="5">
        <v>44814</v>
      </c>
    </row>
    <row r="6" spans="1:6" ht="38" thickBot="1" x14ac:dyDescent="0.4">
      <c r="A6" s="4">
        <v>1</v>
      </c>
      <c r="B6" s="4">
        <v>3</v>
      </c>
      <c r="C6" s="4">
        <v>41</v>
      </c>
      <c r="D6" s="4" t="s">
        <v>10</v>
      </c>
      <c r="E6" s="5">
        <v>44844</v>
      </c>
      <c r="F6" s="4" t="s">
        <v>11</v>
      </c>
    </row>
    <row r="7" spans="1:6" ht="38" thickBot="1" x14ac:dyDescent="0.4">
      <c r="A7" s="4">
        <v>1</v>
      </c>
      <c r="B7" s="4">
        <v>4</v>
      </c>
      <c r="C7" s="4">
        <v>42</v>
      </c>
      <c r="D7" s="4" t="s">
        <v>12</v>
      </c>
      <c r="E7" s="4" t="s">
        <v>13</v>
      </c>
      <c r="F7" s="4" t="s">
        <v>14</v>
      </c>
    </row>
    <row r="8" spans="1:6" ht="38" thickBot="1" x14ac:dyDescent="0.4">
      <c r="A8" s="4">
        <v>1</v>
      </c>
      <c r="B8" s="4">
        <v>5</v>
      </c>
      <c r="C8" s="4">
        <v>43</v>
      </c>
      <c r="D8" s="4" t="s">
        <v>15</v>
      </c>
      <c r="E8" s="4" t="s">
        <v>16</v>
      </c>
      <c r="F8" s="4" t="s">
        <v>17</v>
      </c>
    </row>
    <row r="9" spans="1:6" ht="38" thickBot="1" x14ac:dyDescent="0.4">
      <c r="A9" s="4">
        <v>1</v>
      </c>
      <c r="B9" s="4">
        <v>6</v>
      </c>
      <c r="C9" s="4">
        <v>44</v>
      </c>
      <c r="D9" s="4" t="s">
        <v>18</v>
      </c>
      <c r="E9" s="4" t="s">
        <v>19</v>
      </c>
      <c r="F9" s="5">
        <v>44723</v>
      </c>
    </row>
    <row r="10" spans="1:6" ht="38" thickBot="1" x14ac:dyDescent="0.4">
      <c r="A10" s="4">
        <v>1</v>
      </c>
      <c r="B10" s="4">
        <v>7</v>
      </c>
      <c r="C10" s="4">
        <v>45</v>
      </c>
      <c r="D10" s="4" t="s">
        <v>20</v>
      </c>
      <c r="E10" s="5">
        <v>44753</v>
      </c>
      <c r="F10" s="4" t="s">
        <v>21</v>
      </c>
    </row>
    <row r="11" spans="1:6" ht="38" thickBot="1" x14ac:dyDescent="0.4">
      <c r="A11" s="4">
        <v>1</v>
      </c>
      <c r="B11" s="4">
        <v>8</v>
      </c>
      <c r="C11" s="4">
        <v>46</v>
      </c>
      <c r="D11" s="4" t="s">
        <v>22</v>
      </c>
      <c r="E11" s="4" t="s">
        <v>23</v>
      </c>
      <c r="F11" s="4" t="s">
        <v>24</v>
      </c>
    </row>
    <row r="12" spans="1:6" ht="38" thickBot="1" x14ac:dyDescent="0.4">
      <c r="A12" s="4">
        <v>1</v>
      </c>
      <c r="B12" s="4">
        <v>9</v>
      </c>
      <c r="C12" s="4">
        <v>47</v>
      </c>
      <c r="D12" s="4" t="s">
        <v>25</v>
      </c>
      <c r="E12" s="4" t="s">
        <v>26</v>
      </c>
      <c r="F12" s="4" t="s">
        <v>27</v>
      </c>
    </row>
    <row r="13" spans="1:6" ht="38" thickBot="1" x14ac:dyDescent="0.4">
      <c r="A13" s="4">
        <v>1</v>
      </c>
      <c r="B13" s="4">
        <v>10</v>
      </c>
      <c r="C13" s="4">
        <v>48</v>
      </c>
      <c r="D13" s="4" t="s">
        <v>28</v>
      </c>
      <c r="E13" s="4" t="s">
        <v>29</v>
      </c>
      <c r="F13" s="5">
        <v>44663</v>
      </c>
    </row>
    <row r="14" spans="1:6" ht="38" thickBot="1" x14ac:dyDescent="0.4">
      <c r="A14" s="4">
        <v>1</v>
      </c>
      <c r="B14" s="4">
        <v>11</v>
      </c>
      <c r="C14" s="4">
        <v>49</v>
      </c>
      <c r="D14" s="4" t="s">
        <v>30</v>
      </c>
      <c r="E14" s="5">
        <v>44693</v>
      </c>
      <c r="F14" s="5">
        <v>44877</v>
      </c>
    </row>
    <row r="15" spans="1:6" ht="38" thickBot="1" x14ac:dyDescent="0.4">
      <c r="A15" s="4">
        <v>1</v>
      </c>
      <c r="B15" s="4">
        <v>12</v>
      </c>
      <c r="C15" s="4">
        <v>50</v>
      </c>
      <c r="D15" s="4" t="s">
        <v>31</v>
      </c>
      <c r="E15" s="5">
        <v>44907</v>
      </c>
      <c r="F15" s="4" t="s">
        <v>32</v>
      </c>
    </row>
    <row r="16" spans="1:6" ht="38" thickBot="1" x14ac:dyDescent="0.4">
      <c r="A16" s="4">
        <v>1</v>
      </c>
      <c r="B16" s="4">
        <v>13</v>
      </c>
      <c r="C16" s="4">
        <v>1</v>
      </c>
      <c r="D16" s="4" t="s">
        <v>33</v>
      </c>
      <c r="E16" s="5">
        <v>44958</v>
      </c>
      <c r="F16" s="5">
        <v>45139</v>
      </c>
    </row>
    <row r="17" spans="1:9" ht="38" thickBot="1" x14ac:dyDescent="0.4">
      <c r="A17" s="4">
        <v>2</v>
      </c>
      <c r="B17" s="4">
        <v>1</v>
      </c>
      <c r="C17" s="4">
        <v>4</v>
      </c>
      <c r="D17" s="4" t="s">
        <v>34</v>
      </c>
      <c r="E17" s="4" t="s">
        <v>35</v>
      </c>
      <c r="F17" s="4" t="s">
        <v>36</v>
      </c>
    </row>
    <row r="18" spans="1:9" ht="38" thickBot="1" x14ac:dyDescent="0.4">
      <c r="A18" s="4">
        <v>2</v>
      </c>
      <c r="B18" s="4">
        <v>2</v>
      </c>
      <c r="C18" s="4">
        <v>5</v>
      </c>
      <c r="D18" s="4" t="s">
        <v>37</v>
      </c>
      <c r="E18" s="4" t="s">
        <v>38</v>
      </c>
      <c r="F18" s="5">
        <v>45048</v>
      </c>
    </row>
    <row r="19" spans="1:9" ht="38" thickBot="1" x14ac:dyDescent="0.4">
      <c r="A19" s="4">
        <v>2</v>
      </c>
      <c r="B19" s="4">
        <v>3</v>
      </c>
      <c r="C19" s="4">
        <v>6</v>
      </c>
      <c r="D19" s="4" t="s">
        <v>39</v>
      </c>
      <c r="E19" s="5">
        <v>45079</v>
      </c>
      <c r="F19" s="5">
        <v>45262</v>
      </c>
    </row>
    <row r="20" spans="1:9" ht="38" thickBot="1" x14ac:dyDescent="0.4">
      <c r="A20" s="4">
        <v>2</v>
      </c>
      <c r="B20" s="4">
        <v>4</v>
      </c>
      <c r="C20" s="4">
        <v>7</v>
      </c>
      <c r="D20" s="4" t="s">
        <v>40</v>
      </c>
      <c r="E20" s="4" t="s">
        <v>41</v>
      </c>
      <c r="F20" s="4" t="s">
        <v>42</v>
      </c>
    </row>
    <row r="21" spans="1:9" ht="38" thickBot="1" x14ac:dyDescent="0.4">
      <c r="A21" s="4">
        <v>2</v>
      </c>
      <c r="B21" s="4">
        <v>5</v>
      </c>
      <c r="C21" s="4">
        <v>8</v>
      </c>
      <c r="D21" s="4" t="s">
        <v>43</v>
      </c>
      <c r="E21" s="4" t="s">
        <v>44</v>
      </c>
      <c r="F21" s="4" t="s">
        <v>45</v>
      </c>
    </row>
    <row r="22" spans="1:9" ht="38" thickBot="1" x14ac:dyDescent="0.4">
      <c r="A22" s="4">
        <v>2</v>
      </c>
      <c r="B22" s="4">
        <v>6</v>
      </c>
      <c r="C22" s="4">
        <v>9</v>
      </c>
      <c r="D22" s="4" t="s">
        <v>46</v>
      </c>
      <c r="E22" s="4" t="s">
        <v>47</v>
      </c>
      <c r="F22" s="5">
        <v>45049</v>
      </c>
    </row>
    <row r="23" spans="1:9" ht="38" thickBot="1" x14ac:dyDescent="0.4">
      <c r="A23" s="4">
        <v>2</v>
      </c>
      <c r="B23" s="4">
        <v>7</v>
      </c>
      <c r="C23" s="4">
        <v>10</v>
      </c>
      <c r="D23" s="4" t="s">
        <v>48</v>
      </c>
      <c r="E23" s="5">
        <v>45080</v>
      </c>
      <c r="F23" s="5">
        <v>45263</v>
      </c>
    </row>
    <row r="24" spans="1:9" ht="38" thickBot="1" x14ac:dyDescent="0.4">
      <c r="A24" s="4">
        <v>2</v>
      </c>
      <c r="B24" s="4">
        <v>8</v>
      </c>
      <c r="C24" s="4">
        <v>11</v>
      </c>
      <c r="D24" s="4" t="s">
        <v>49</v>
      </c>
      <c r="E24" s="4" t="s">
        <v>50</v>
      </c>
      <c r="F24" s="4" t="s">
        <v>51</v>
      </c>
    </row>
    <row r="25" spans="1:9" ht="38" thickBot="1" x14ac:dyDescent="0.4">
      <c r="A25" s="4">
        <v>2</v>
      </c>
      <c r="B25" s="4">
        <v>9</v>
      </c>
      <c r="C25" s="4">
        <v>12</v>
      </c>
      <c r="D25" s="4" t="s">
        <v>52</v>
      </c>
      <c r="E25" s="4" t="s">
        <v>53</v>
      </c>
      <c r="F25" s="4" t="s">
        <v>54</v>
      </c>
    </row>
    <row r="26" spans="1:9" ht="38" thickBot="1" x14ac:dyDescent="0.4">
      <c r="A26" s="4">
        <v>2</v>
      </c>
      <c r="B26" s="4">
        <v>10</v>
      </c>
      <c r="C26" s="4">
        <v>13</v>
      </c>
      <c r="D26" s="4" t="s">
        <v>55</v>
      </c>
      <c r="E26" s="4" t="s">
        <v>56</v>
      </c>
      <c r="F26" s="5">
        <v>44961</v>
      </c>
    </row>
    <row r="27" spans="1:9" ht="38" thickBot="1" x14ac:dyDescent="0.4">
      <c r="A27" s="4">
        <v>2</v>
      </c>
      <c r="B27" s="4">
        <v>11</v>
      </c>
      <c r="C27" s="4">
        <v>17</v>
      </c>
      <c r="D27" s="4" t="s">
        <v>57</v>
      </c>
      <c r="E27" s="4" t="s">
        <v>58</v>
      </c>
      <c r="F27" s="4" t="s">
        <v>59</v>
      </c>
    </row>
    <row r="28" spans="1:9" ht="38" thickBot="1" x14ac:dyDescent="0.4">
      <c r="A28" s="4">
        <v>2</v>
      </c>
      <c r="B28" s="4">
        <v>12</v>
      </c>
      <c r="C28" s="4">
        <v>18</v>
      </c>
      <c r="D28" s="4" t="s">
        <v>60</v>
      </c>
      <c r="E28" s="5">
        <v>44931</v>
      </c>
      <c r="F28" s="5">
        <v>45112</v>
      </c>
    </row>
    <row r="29" spans="1:9" ht="38" thickBot="1" x14ac:dyDescent="0.4">
      <c r="A29" s="4">
        <v>2</v>
      </c>
      <c r="B29" s="4">
        <v>13</v>
      </c>
      <c r="C29" s="4">
        <v>19</v>
      </c>
      <c r="D29" s="4" t="s">
        <v>61</v>
      </c>
      <c r="E29" s="5">
        <v>45143</v>
      </c>
      <c r="F29" s="4" t="s">
        <v>62</v>
      </c>
    </row>
    <row r="30" spans="1:9" ht="120" x14ac:dyDescent="0.35">
      <c r="A30" s="2" t="s">
        <v>63</v>
      </c>
    </row>
    <row r="31" spans="1:9" ht="15" thickBot="1" x14ac:dyDescent="0.4">
      <c r="A31" s="1"/>
    </row>
    <row r="32" spans="1:9" ht="26.5" thickBot="1" x14ac:dyDescent="0.4">
      <c r="A32" s="3" t="s">
        <v>64</v>
      </c>
      <c r="B32" s="3" t="s">
        <v>65</v>
      </c>
      <c r="C32" s="3" t="s">
        <v>66</v>
      </c>
      <c r="D32" s="3" t="s">
        <v>67</v>
      </c>
      <c r="E32" s="3" t="s">
        <v>68</v>
      </c>
      <c r="F32" s="3" t="s">
        <v>69</v>
      </c>
      <c r="G32" s="3" t="s">
        <v>70</v>
      </c>
      <c r="H32" s="3" t="s">
        <v>71</v>
      </c>
      <c r="I32" s="3" t="s">
        <v>72</v>
      </c>
    </row>
    <row r="33" spans="1:9" ht="38" thickBot="1" x14ac:dyDescent="0.4">
      <c r="A33" s="4" t="s">
        <v>73</v>
      </c>
      <c r="B33" s="4" t="s">
        <v>74</v>
      </c>
      <c r="C33" s="4" t="s">
        <v>75</v>
      </c>
      <c r="D33" s="4" t="s">
        <v>76</v>
      </c>
      <c r="E33" s="4">
        <v>45</v>
      </c>
      <c r="F33" s="4">
        <v>3</v>
      </c>
      <c r="G33" s="4">
        <v>1</v>
      </c>
      <c r="H33" s="4">
        <v>2</v>
      </c>
      <c r="I33" s="4">
        <v>2</v>
      </c>
    </row>
    <row r="34" spans="1:9" ht="25.5" thickBot="1" x14ac:dyDescent="0.4">
      <c r="A34" s="4" t="s">
        <v>77</v>
      </c>
      <c r="B34" s="4" t="s">
        <v>78</v>
      </c>
      <c r="C34" s="4" t="s">
        <v>79</v>
      </c>
      <c r="D34" s="4" t="s">
        <v>76</v>
      </c>
      <c r="E34" s="4">
        <v>38</v>
      </c>
      <c r="F34" s="4">
        <v>3</v>
      </c>
      <c r="G34" s="4">
        <v>1</v>
      </c>
      <c r="H34" s="4">
        <v>2</v>
      </c>
      <c r="I34" s="4">
        <v>2</v>
      </c>
    </row>
    <row r="35" spans="1:9" ht="25.5" thickBot="1" x14ac:dyDescent="0.4">
      <c r="A35" s="4" t="s">
        <v>80</v>
      </c>
      <c r="B35" s="4" t="s">
        <v>81</v>
      </c>
      <c r="C35" s="4" t="s">
        <v>82</v>
      </c>
      <c r="D35" s="4" t="s">
        <v>76</v>
      </c>
      <c r="E35" s="4">
        <v>52</v>
      </c>
      <c r="F35" s="4">
        <v>4</v>
      </c>
      <c r="G35" s="4">
        <v>1</v>
      </c>
      <c r="H35" s="4">
        <v>3</v>
      </c>
      <c r="I35" s="4">
        <v>2</v>
      </c>
    </row>
    <row r="36" spans="1:9" ht="25.5" thickBot="1" x14ac:dyDescent="0.4">
      <c r="A36" s="4" t="s">
        <v>83</v>
      </c>
      <c r="B36" s="4" t="s">
        <v>84</v>
      </c>
      <c r="C36" s="4" t="s">
        <v>85</v>
      </c>
      <c r="D36" s="4" t="s">
        <v>76</v>
      </c>
      <c r="E36" s="4">
        <v>41</v>
      </c>
      <c r="F36" s="4">
        <v>3</v>
      </c>
      <c r="G36" s="4">
        <v>1</v>
      </c>
      <c r="H36" s="4">
        <v>2</v>
      </c>
      <c r="I36" s="4">
        <v>2</v>
      </c>
    </row>
    <row r="37" spans="1:9" ht="25.5" thickBot="1" x14ac:dyDescent="0.4">
      <c r="A37" s="4" t="s">
        <v>86</v>
      </c>
      <c r="B37" s="4" t="s">
        <v>87</v>
      </c>
      <c r="C37" s="4" t="s">
        <v>88</v>
      </c>
      <c r="D37" s="4" t="s">
        <v>76</v>
      </c>
      <c r="E37" s="4">
        <v>35</v>
      </c>
      <c r="F37" s="4">
        <v>3</v>
      </c>
      <c r="G37" s="4">
        <v>1</v>
      </c>
      <c r="H37" s="4">
        <v>2</v>
      </c>
      <c r="I37" s="4">
        <v>2</v>
      </c>
    </row>
    <row r="38" spans="1:9" ht="38" thickBot="1" x14ac:dyDescent="0.4">
      <c r="A38" s="4" t="s">
        <v>89</v>
      </c>
      <c r="B38" s="4" t="s">
        <v>90</v>
      </c>
      <c r="C38" s="4" t="s">
        <v>91</v>
      </c>
      <c r="D38" s="4" t="s">
        <v>76</v>
      </c>
      <c r="E38" s="4">
        <v>48</v>
      </c>
      <c r="F38" s="4">
        <v>4</v>
      </c>
      <c r="G38" s="4">
        <v>1</v>
      </c>
      <c r="H38" s="4">
        <v>3</v>
      </c>
      <c r="I38" s="4">
        <v>2</v>
      </c>
    </row>
    <row r="39" spans="1:9" ht="25.5" thickBot="1" x14ac:dyDescent="0.4">
      <c r="A39" s="4" t="s">
        <v>92</v>
      </c>
      <c r="B39" s="4" t="s">
        <v>93</v>
      </c>
      <c r="C39" s="4" t="s">
        <v>75</v>
      </c>
      <c r="D39" s="4" t="s">
        <v>76</v>
      </c>
      <c r="E39" s="4">
        <v>62</v>
      </c>
      <c r="F39" s="4">
        <v>4</v>
      </c>
      <c r="G39" s="4">
        <v>2</v>
      </c>
      <c r="H39" s="4">
        <v>3</v>
      </c>
      <c r="I39" s="4">
        <v>2</v>
      </c>
    </row>
    <row r="40" spans="1:9" ht="25.5" thickBot="1" x14ac:dyDescent="0.4">
      <c r="A40" s="4" t="s">
        <v>94</v>
      </c>
      <c r="B40" s="4" t="s">
        <v>95</v>
      </c>
      <c r="C40" s="4" t="s">
        <v>96</v>
      </c>
      <c r="D40" s="4" t="s">
        <v>97</v>
      </c>
      <c r="E40" s="4">
        <v>68</v>
      </c>
      <c r="F40" s="4">
        <v>4</v>
      </c>
      <c r="G40" s="4">
        <v>1</v>
      </c>
      <c r="H40" s="4">
        <v>3</v>
      </c>
      <c r="I40" s="4">
        <v>2</v>
      </c>
    </row>
    <row r="41" spans="1:9" ht="25.5" thickBot="1" x14ac:dyDescent="0.4">
      <c r="A41" s="4" t="s">
        <v>98</v>
      </c>
      <c r="B41" s="4" t="s">
        <v>99</v>
      </c>
      <c r="C41" s="4" t="s">
        <v>100</v>
      </c>
      <c r="D41" s="4" t="s">
        <v>97</v>
      </c>
      <c r="E41" s="4">
        <v>55</v>
      </c>
      <c r="F41" s="4">
        <v>3</v>
      </c>
      <c r="G41" s="4">
        <v>1</v>
      </c>
      <c r="H41" s="4">
        <v>2</v>
      </c>
      <c r="I41" s="4">
        <v>2</v>
      </c>
    </row>
    <row r="42" spans="1:9" ht="38" thickBot="1" x14ac:dyDescent="0.4">
      <c r="A42" s="4" t="s">
        <v>101</v>
      </c>
      <c r="B42" s="4" t="s">
        <v>102</v>
      </c>
      <c r="C42" s="4" t="s">
        <v>103</v>
      </c>
      <c r="D42" s="4" t="s">
        <v>97</v>
      </c>
      <c r="E42" s="4">
        <v>42</v>
      </c>
      <c r="F42" s="4">
        <v>3</v>
      </c>
      <c r="G42" s="4">
        <v>1</v>
      </c>
      <c r="H42" s="4">
        <v>2</v>
      </c>
      <c r="I42" s="4">
        <v>2</v>
      </c>
    </row>
    <row r="43" spans="1:9" ht="38" thickBot="1" x14ac:dyDescent="0.4">
      <c r="A43" s="4" t="s">
        <v>104</v>
      </c>
      <c r="B43" s="4" t="s">
        <v>105</v>
      </c>
      <c r="C43" s="4" t="s">
        <v>106</v>
      </c>
      <c r="D43" s="4" t="s">
        <v>97</v>
      </c>
      <c r="E43" s="4">
        <v>50</v>
      </c>
      <c r="F43" s="4">
        <v>3</v>
      </c>
      <c r="G43" s="4">
        <v>2</v>
      </c>
      <c r="H43" s="4">
        <v>2</v>
      </c>
      <c r="I43" s="4">
        <v>2</v>
      </c>
    </row>
    <row r="44" spans="1:9" ht="25.5" thickBot="1" x14ac:dyDescent="0.4">
      <c r="A44" s="4" t="s">
        <v>107</v>
      </c>
      <c r="B44" s="4" t="s">
        <v>108</v>
      </c>
      <c r="C44" s="4" t="s">
        <v>109</v>
      </c>
      <c r="D44" s="4" t="s">
        <v>110</v>
      </c>
      <c r="E44" s="4">
        <v>72</v>
      </c>
      <c r="F44" s="4">
        <v>4</v>
      </c>
      <c r="G44" s="4">
        <v>1</v>
      </c>
      <c r="H44" s="4">
        <v>3</v>
      </c>
      <c r="I44" s="4">
        <v>2</v>
      </c>
    </row>
    <row r="45" spans="1:9" ht="38" thickBot="1" x14ac:dyDescent="0.4">
      <c r="A45" s="4" t="s">
        <v>111</v>
      </c>
      <c r="B45" s="4" t="s">
        <v>112</v>
      </c>
      <c r="C45" s="4" t="s">
        <v>113</v>
      </c>
      <c r="D45" s="4" t="s">
        <v>110</v>
      </c>
      <c r="E45" s="4">
        <v>34</v>
      </c>
      <c r="F45" s="4">
        <v>3</v>
      </c>
      <c r="G45" s="4">
        <v>1</v>
      </c>
      <c r="H45" s="4">
        <v>2</v>
      </c>
      <c r="I45" s="4">
        <v>2</v>
      </c>
    </row>
    <row r="46" spans="1:9" ht="25.5" thickBot="1" x14ac:dyDescent="0.4">
      <c r="A46" s="4" t="s">
        <v>114</v>
      </c>
      <c r="B46" s="4" t="s">
        <v>115</v>
      </c>
      <c r="C46" s="4" t="s">
        <v>116</v>
      </c>
      <c r="D46" s="4" t="s">
        <v>110</v>
      </c>
      <c r="E46" s="4">
        <v>38</v>
      </c>
      <c r="F46" s="4">
        <v>3</v>
      </c>
      <c r="G46" s="4">
        <v>2</v>
      </c>
      <c r="H46" s="4">
        <v>2</v>
      </c>
      <c r="I46" s="4">
        <v>2</v>
      </c>
    </row>
    <row r="47" spans="1:9" ht="38" thickBot="1" x14ac:dyDescent="0.4">
      <c r="A47" s="4" t="s">
        <v>117</v>
      </c>
      <c r="B47" s="4" t="s">
        <v>118</v>
      </c>
      <c r="C47" s="4" t="s">
        <v>119</v>
      </c>
      <c r="D47" s="4" t="s">
        <v>120</v>
      </c>
      <c r="E47" s="4">
        <v>58</v>
      </c>
      <c r="F47" s="4">
        <v>4</v>
      </c>
      <c r="G47" s="4">
        <v>1</v>
      </c>
      <c r="H47" s="4">
        <v>3</v>
      </c>
      <c r="I47" s="4">
        <v>2</v>
      </c>
    </row>
    <row r="48" spans="1:9" ht="38" thickBot="1" x14ac:dyDescent="0.4">
      <c r="A48" s="4" t="s">
        <v>121</v>
      </c>
      <c r="B48" s="4" t="s">
        <v>122</v>
      </c>
      <c r="C48" s="4" t="s">
        <v>123</v>
      </c>
      <c r="D48" s="4" t="s">
        <v>120</v>
      </c>
      <c r="E48" s="4">
        <v>46</v>
      </c>
      <c r="F48" s="4">
        <v>3</v>
      </c>
      <c r="G48" s="4">
        <v>2</v>
      </c>
      <c r="H48" s="4">
        <v>2</v>
      </c>
      <c r="I48" s="4">
        <v>2</v>
      </c>
    </row>
    <row r="49" spans="1:9" ht="25.5" thickBot="1" x14ac:dyDescent="0.4">
      <c r="A49" s="4" t="s">
        <v>124</v>
      </c>
      <c r="B49" s="4" t="s">
        <v>125</v>
      </c>
      <c r="C49" s="4" t="s">
        <v>126</v>
      </c>
      <c r="D49" s="4" t="s">
        <v>127</v>
      </c>
      <c r="E49" s="4">
        <v>44</v>
      </c>
      <c r="F49" s="4">
        <v>3</v>
      </c>
      <c r="G49" s="4">
        <v>1</v>
      </c>
      <c r="H49" s="4">
        <v>2</v>
      </c>
      <c r="I49" s="4">
        <v>2</v>
      </c>
    </row>
    <row r="50" spans="1:9" ht="38" thickBot="1" x14ac:dyDescent="0.4">
      <c r="A50" s="4" t="s">
        <v>128</v>
      </c>
      <c r="B50" s="4" t="s">
        <v>129</v>
      </c>
      <c r="C50" s="4" t="s">
        <v>96</v>
      </c>
      <c r="D50" s="4" t="s">
        <v>127</v>
      </c>
      <c r="E50" s="4">
        <v>39</v>
      </c>
      <c r="F50" s="4">
        <v>4</v>
      </c>
      <c r="G50" s="4">
        <v>1</v>
      </c>
      <c r="H50" s="4">
        <v>3</v>
      </c>
      <c r="I50" s="4">
        <v>2</v>
      </c>
    </row>
    <row r="51" spans="1:9" ht="25.5" thickBot="1" x14ac:dyDescent="0.4">
      <c r="A51" s="4" t="s">
        <v>130</v>
      </c>
      <c r="B51" s="4" t="s">
        <v>131</v>
      </c>
      <c r="C51" s="4" t="s">
        <v>82</v>
      </c>
      <c r="D51" s="4" t="s">
        <v>127</v>
      </c>
      <c r="E51" s="4">
        <v>36</v>
      </c>
      <c r="F51" s="4">
        <v>3</v>
      </c>
      <c r="G51" s="4">
        <v>2</v>
      </c>
      <c r="H51" s="4">
        <v>2</v>
      </c>
      <c r="I51" s="4">
        <v>2</v>
      </c>
    </row>
    <row r="52" spans="1:9" ht="25.5" thickBot="1" x14ac:dyDescent="0.4">
      <c r="A52" s="4" t="s">
        <v>132</v>
      </c>
      <c r="B52" s="4" t="s">
        <v>133</v>
      </c>
      <c r="C52" s="4" t="s">
        <v>88</v>
      </c>
      <c r="D52" s="4" t="s">
        <v>127</v>
      </c>
      <c r="E52" s="4">
        <v>42</v>
      </c>
      <c r="F52" s="4">
        <v>3</v>
      </c>
      <c r="G52" s="4">
        <v>2</v>
      </c>
      <c r="H52" s="4">
        <v>2</v>
      </c>
      <c r="I52" s="4">
        <v>2</v>
      </c>
    </row>
    <row r="53" spans="1:9" ht="120" x14ac:dyDescent="0.35">
      <c r="A53" s="2" t="s">
        <v>134</v>
      </c>
    </row>
    <row r="54" spans="1:9" ht="15" thickBot="1" x14ac:dyDescent="0.4">
      <c r="A54" s="1"/>
    </row>
    <row r="55" spans="1:9" ht="26.5" thickBot="1" x14ac:dyDescent="0.4">
      <c r="A55" s="3" t="s">
        <v>135</v>
      </c>
      <c r="B55" s="3" t="s">
        <v>136</v>
      </c>
      <c r="C55" s="3" t="s">
        <v>137</v>
      </c>
      <c r="D55" s="3" t="s">
        <v>138</v>
      </c>
      <c r="E55" s="3" t="s">
        <v>139</v>
      </c>
      <c r="F55" s="3" t="s">
        <v>140</v>
      </c>
      <c r="G55" s="3" t="s">
        <v>141</v>
      </c>
    </row>
    <row r="56" spans="1:9" ht="63" thickBot="1" x14ac:dyDescent="0.4">
      <c r="A56" s="4" t="s">
        <v>142</v>
      </c>
      <c r="B56" s="4" t="s">
        <v>143</v>
      </c>
      <c r="C56" s="4">
        <v>150</v>
      </c>
      <c r="D56" s="4" t="s">
        <v>144</v>
      </c>
      <c r="E56" s="4" t="s">
        <v>145</v>
      </c>
      <c r="F56" s="4" t="s">
        <v>146</v>
      </c>
      <c r="G56" s="4" t="s">
        <v>147</v>
      </c>
    </row>
    <row r="57" spans="1:9" ht="63" thickBot="1" x14ac:dyDescent="0.4">
      <c r="A57" s="4" t="s">
        <v>148</v>
      </c>
      <c r="B57" s="4" t="s">
        <v>149</v>
      </c>
      <c r="C57" s="4">
        <v>180</v>
      </c>
      <c r="D57" s="4" t="s">
        <v>144</v>
      </c>
      <c r="E57" s="4" t="s">
        <v>145</v>
      </c>
      <c r="F57" s="4" t="s">
        <v>146</v>
      </c>
      <c r="G57" s="4" t="s">
        <v>150</v>
      </c>
    </row>
    <row r="58" spans="1:9" ht="38" thickBot="1" x14ac:dyDescent="0.4">
      <c r="A58" s="4" t="s">
        <v>151</v>
      </c>
      <c r="B58" s="4" t="s">
        <v>152</v>
      </c>
      <c r="C58" s="4">
        <v>120</v>
      </c>
      <c r="D58" s="4" t="s">
        <v>144</v>
      </c>
      <c r="E58" s="4" t="s">
        <v>153</v>
      </c>
      <c r="F58" s="4" t="s">
        <v>154</v>
      </c>
      <c r="G58" s="4" t="s">
        <v>155</v>
      </c>
    </row>
    <row r="59" spans="1:9" ht="38" thickBot="1" x14ac:dyDescent="0.4">
      <c r="A59" s="4" t="s">
        <v>156</v>
      </c>
      <c r="B59" s="4" t="s">
        <v>157</v>
      </c>
      <c r="C59" s="4">
        <v>45</v>
      </c>
      <c r="D59" s="4" t="s">
        <v>158</v>
      </c>
      <c r="E59" s="4" t="s">
        <v>145</v>
      </c>
      <c r="F59" s="4" t="s">
        <v>154</v>
      </c>
      <c r="G59" s="4" t="s">
        <v>155</v>
      </c>
    </row>
    <row r="60" spans="1:9" ht="38" thickBot="1" x14ac:dyDescent="0.4">
      <c r="A60" s="4" t="s">
        <v>159</v>
      </c>
      <c r="B60" s="4" t="s">
        <v>160</v>
      </c>
      <c r="C60" s="4">
        <v>40</v>
      </c>
      <c r="D60" s="4" t="s">
        <v>158</v>
      </c>
      <c r="E60" s="4" t="s">
        <v>145</v>
      </c>
      <c r="F60" s="4" t="s">
        <v>154</v>
      </c>
      <c r="G60" s="4" t="s">
        <v>155</v>
      </c>
    </row>
    <row r="61" spans="1:9" ht="38" thickBot="1" x14ac:dyDescent="0.4">
      <c r="A61" s="4" t="s">
        <v>161</v>
      </c>
      <c r="B61" s="4" t="s">
        <v>162</v>
      </c>
      <c r="C61" s="4">
        <v>38</v>
      </c>
      <c r="D61" s="4" t="s">
        <v>158</v>
      </c>
      <c r="E61" s="4" t="s">
        <v>145</v>
      </c>
      <c r="F61" s="4" t="s">
        <v>163</v>
      </c>
      <c r="G61" s="4" t="s">
        <v>164</v>
      </c>
    </row>
    <row r="62" spans="1:9" ht="38" thickBot="1" x14ac:dyDescent="0.4">
      <c r="A62" s="4" t="s">
        <v>165</v>
      </c>
      <c r="B62" s="4" t="s">
        <v>166</v>
      </c>
      <c r="C62" s="4">
        <v>42</v>
      </c>
      <c r="D62" s="4" t="s">
        <v>158</v>
      </c>
      <c r="E62" s="4" t="s">
        <v>153</v>
      </c>
      <c r="F62" s="4" t="s">
        <v>163</v>
      </c>
      <c r="G62" s="4" t="s">
        <v>155</v>
      </c>
    </row>
    <row r="63" spans="1:9" ht="38" thickBot="1" x14ac:dyDescent="0.4">
      <c r="A63" s="4" t="s">
        <v>167</v>
      </c>
      <c r="B63" s="4" t="s">
        <v>168</v>
      </c>
      <c r="C63" s="4">
        <v>35</v>
      </c>
      <c r="D63" s="4" t="s">
        <v>158</v>
      </c>
      <c r="E63" s="4" t="s">
        <v>169</v>
      </c>
      <c r="F63" s="4" t="s">
        <v>154</v>
      </c>
      <c r="G63" s="4" t="s">
        <v>155</v>
      </c>
    </row>
    <row r="64" spans="1:9" ht="38" thickBot="1" x14ac:dyDescent="0.4">
      <c r="A64" s="4" t="s">
        <v>170</v>
      </c>
      <c r="B64" s="4" t="s">
        <v>171</v>
      </c>
      <c r="C64" s="4">
        <v>48</v>
      </c>
      <c r="D64" s="4" t="s">
        <v>158</v>
      </c>
      <c r="E64" s="4" t="s">
        <v>169</v>
      </c>
      <c r="F64" s="4" t="s">
        <v>163</v>
      </c>
      <c r="G64" s="4" t="s">
        <v>172</v>
      </c>
    </row>
    <row r="65" spans="1:8" ht="63" thickBot="1" x14ac:dyDescent="0.4">
      <c r="A65" s="4" t="s">
        <v>173</v>
      </c>
      <c r="B65" s="4" t="s">
        <v>174</v>
      </c>
      <c r="C65" s="4">
        <v>30</v>
      </c>
      <c r="D65" s="4" t="s">
        <v>175</v>
      </c>
      <c r="E65" s="4" t="s">
        <v>176</v>
      </c>
      <c r="F65" s="4" t="s">
        <v>146</v>
      </c>
      <c r="G65" s="4" t="s">
        <v>177</v>
      </c>
    </row>
    <row r="66" spans="1:8" ht="63" thickBot="1" x14ac:dyDescent="0.4">
      <c r="A66" s="4" t="s">
        <v>178</v>
      </c>
      <c r="B66" s="4" t="s">
        <v>179</v>
      </c>
      <c r="C66" s="4">
        <v>32</v>
      </c>
      <c r="D66" s="4" t="s">
        <v>175</v>
      </c>
      <c r="E66" s="4" t="s">
        <v>176</v>
      </c>
      <c r="F66" s="4" t="s">
        <v>146</v>
      </c>
      <c r="G66" s="4" t="s">
        <v>180</v>
      </c>
    </row>
    <row r="67" spans="1:8" ht="63" thickBot="1" x14ac:dyDescent="0.4">
      <c r="A67" s="4" t="s">
        <v>181</v>
      </c>
      <c r="B67" s="4" t="s">
        <v>182</v>
      </c>
      <c r="C67" s="4">
        <v>28</v>
      </c>
      <c r="D67" s="4" t="s">
        <v>175</v>
      </c>
      <c r="E67" s="4" t="s">
        <v>153</v>
      </c>
      <c r="F67" s="4" t="s">
        <v>146</v>
      </c>
      <c r="G67" s="4" t="s">
        <v>183</v>
      </c>
    </row>
    <row r="68" spans="1:8" ht="63" thickBot="1" x14ac:dyDescent="0.4">
      <c r="A68" s="4" t="s">
        <v>184</v>
      </c>
      <c r="B68" s="4" t="s">
        <v>185</v>
      </c>
      <c r="C68" s="4">
        <v>26</v>
      </c>
      <c r="D68" s="4" t="s">
        <v>175</v>
      </c>
      <c r="E68" s="4" t="s">
        <v>153</v>
      </c>
      <c r="F68" s="4" t="s">
        <v>146</v>
      </c>
      <c r="G68" s="4" t="s">
        <v>186</v>
      </c>
    </row>
    <row r="69" spans="1:8" ht="63" thickBot="1" x14ac:dyDescent="0.4">
      <c r="A69" s="4" t="s">
        <v>187</v>
      </c>
      <c r="B69" s="4" t="s">
        <v>188</v>
      </c>
      <c r="C69" s="4">
        <v>20</v>
      </c>
      <c r="D69" s="4" t="s">
        <v>189</v>
      </c>
      <c r="E69" s="4" t="s">
        <v>145</v>
      </c>
      <c r="F69" s="4" t="s">
        <v>190</v>
      </c>
      <c r="G69" s="4" t="s">
        <v>191</v>
      </c>
    </row>
    <row r="70" spans="1:8" ht="38" thickBot="1" x14ac:dyDescent="0.4">
      <c r="A70" s="4" t="s">
        <v>192</v>
      </c>
      <c r="B70" s="4" t="s">
        <v>193</v>
      </c>
      <c r="C70" s="4">
        <v>18</v>
      </c>
      <c r="D70" s="4" t="s">
        <v>189</v>
      </c>
      <c r="E70" s="4" t="s">
        <v>145</v>
      </c>
      <c r="F70" s="4" t="s">
        <v>190</v>
      </c>
      <c r="G70" s="4" t="s">
        <v>155</v>
      </c>
    </row>
    <row r="71" spans="1:8" ht="280" x14ac:dyDescent="0.35">
      <c r="A71" s="2" t="s">
        <v>194</v>
      </c>
    </row>
    <row r="72" spans="1:8" x14ac:dyDescent="0.35">
      <c r="A72" s="1"/>
    </row>
    <row r="73" spans="1:8" ht="105" x14ac:dyDescent="0.35">
      <c r="A73" s="6" t="s">
        <v>195</v>
      </c>
    </row>
    <row r="74" spans="1:8" ht="15" thickBot="1" x14ac:dyDescent="0.4">
      <c r="A74" s="1"/>
    </row>
    <row r="75" spans="1:8" ht="26.5" thickBot="1" x14ac:dyDescent="0.4">
      <c r="A75" s="3" t="s">
        <v>196</v>
      </c>
      <c r="B75" s="3" t="s">
        <v>197</v>
      </c>
      <c r="C75" s="3" t="s">
        <v>67</v>
      </c>
      <c r="D75" s="3" t="s">
        <v>198</v>
      </c>
      <c r="E75" s="3" t="s">
        <v>199</v>
      </c>
      <c r="F75" s="3" t="s">
        <v>200</v>
      </c>
      <c r="G75" s="3" t="s">
        <v>201</v>
      </c>
      <c r="H75" s="3" t="s">
        <v>202</v>
      </c>
    </row>
    <row r="76" spans="1:8" ht="38" thickBot="1" x14ac:dyDescent="0.4">
      <c r="A76" s="4" t="s">
        <v>203</v>
      </c>
      <c r="B76" s="4" t="s">
        <v>75</v>
      </c>
      <c r="C76" s="4" t="s">
        <v>76</v>
      </c>
      <c r="D76" s="4" t="s">
        <v>204</v>
      </c>
      <c r="E76" s="4" t="s">
        <v>205</v>
      </c>
      <c r="F76" s="4" t="s">
        <v>206</v>
      </c>
      <c r="G76" s="4">
        <f>1-555-101</f>
        <v>-655</v>
      </c>
      <c r="H76" s="4" t="s">
        <v>207</v>
      </c>
    </row>
    <row r="77" spans="1:8" ht="38" thickBot="1" x14ac:dyDescent="0.4">
      <c r="A77" s="4" t="s">
        <v>208</v>
      </c>
      <c r="B77" s="4" t="s">
        <v>79</v>
      </c>
      <c r="C77" s="4" t="s">
        <v>76</v>
      </c>
      <c r="D77" s="4" t="s">
        <v>209</v>
      </c>
      <c r="E77" s="4" t="s">
        <v>210</v>
      </c>
      <c r="F77" s="4" t="s">
        <v>211</v>
      </c>
      <c r="G77" s="4">
        <f>1-555-102</f>
        <v>-656</v>
      </c>
      <c r="H77" s="4" t="s">
        <v>77</v>
      </c>
    </row>
    <row r="78" spans="1:8" ht="38" thickBot="1" x14ac:dyDescent="0.4">
      <c r="A78" s="4" t="s">
        <v>212</v>
      </c>
      <c r="B78" s="4" t="s">
        <v>119</v>
      </c>
      <c r="C78" s="4" t="s">
        <v>120</v>
      </c>
      <c r="D78" s="4" t="s">
        <v>204</v>
      </c>
      <c r="E78" s="4" t="s">
        <v>213</v>
      </c>
      <c r="F78" s="4" t="s">
        <v>214</v>
      </c>
      <c r="G78" s="4">
        <f>1-555-103</f>
        <v>-657</v>
      </c>
      <c r="H78" s="4" t="s">
        <v>117</v>
      </c>
    </row>
    <row r="79" spans="1:8" ht="38" thickBot="1" x14ac:dyDescent="0.4">
      <c r="A79" s="4" t="s">
        <v>215</v>
      </c>
      <c r="B79" s="4" t="s">
        <v>96</v>
      </c>
      <c r="C79" s="4" t="s">
        <v>97</v>
      </c>
      <c r="D79" s="4" t="s">
        <v>204</v>
      </c>
      <c r="E79" s="4" t="s">
        <v>216</v>
      </c>
      <c r="F79" s="4" t="s">
        <v>217</v>
      </c>
      <c r="G79" s="4">
        <f>1-555-104</f>
        <v>-658</v>
      </c>
      <c r="H79" s="4" t="s">
        <v>218</v>
      </c>
    </row>
    <row r="80" spans="1:8" ht="38" thickBot="1" x14ac:dyDescent="0.4">
      <c r="A80" s="4" t="s">
        <v>219</v>
      </c>
      <c r="B80" s="4" t="s">
        <v>123</v>
      </c>
      <c r="C80" s="4" t="s">
        <v>120</v>
      </c>
      <c r="D80" s="4" t="s">
        <v>209</v>
      </c>
      <c r="E80" s="4" t="s">
        <v>220</v>
      </c>
      <c r="F80" s="4" t="s">
        <v>221</v>
      </c>
      <c r="G80" s="4">
        <f>1-555-105</f>
        <v>-659</v>
      </c>
      <c r="H80" s="4" t="s">
        <v>121</v>
      </c>
    </row>
    <row r="81" spans="1:8" ht="38" thickBot="1" x14ac:dyDescent="0.4">
      <c r="A81" s="4" t="s">
        <v>222</v>
      </c>
      <c r="B81" s="4" t="s">
        <v>82</v>
      </c>
      <c r="C81" s="4" t="s">
        <v>76</v>
      </c>
      <c r="D81" s="4" t="s">
        <v>223</v>
      </c>
      <c r="E81" s="4" t="s">
        <v>224</v>
      </c>
      <c r="F81" s="4" t="s">
        <v>225</v>
      </c>
      <c r="G81" s="4">
        <f>1-555-106</f>
        <v>-660</v>
      </c>
      <c r="H81" s="4" t="s">
        <v>226</v>
      </c>
    </row>
    <row r="82" spans="1:8" ht="38" thickBot="1" x14ac:dyDescent="0.4">
      <c r="A82" s="4" t="s">
        <v>227</v>
      </c>
      <c r="B82" s="4" t="s">
        <v>100</v>
      </c>
      <c r="C82" s="4" t="s">
        <v>97</v>
      </c>
      <c r="D82" s="4" t="s">
        <v>209</v>
      </c>
      <c r="E82" s="4" t="s">
        <v>228</v>
      </c>
      <c r="F82" s="4" t="s">
        <v>229</v>
      </c>
      <c r="G82" s="4">
        <f>1-555-107</f>
        <v>-661</v>
      </c>
      <c r="H82" s="4" t="s">
        <v>98</v>
      </c>
    </row>
    <row r="83" spans="1:8" ht="38" thickBot="1" x14ac:dyDescent="0.4">
      <c r="A83" s="4" t="s">
        <v>230</v>
      </c>
      <c r="B83" s="4" t="s">
        <v>103</v>
      </c>
      <c r="C83" s="4" t="s">
        <v>97</v>
      </c>
      <c r="D83" s="4" t="s">
        <v>223</v>
      </c>
      <c r="E83" s="4" t="s">
        <v>231</v>
      </c>
      <c r="F83" s="4" t="s">
        <v>232</v>
      </c>
      <c r="G83" s="4">
        <f>1-555-108</f>
        <v>-662</v>
      </c>
      <c r="H83" s="4" t="s">
        <v>101</v>
      </c>
    </row>
    <row r="84" spans="1:8" ht="38" thickBot="1" x14ac:dyDescent="0.4">
      <c r="A84" s="4" t="s">
        <v>233</v>
      </c>
      <c r="B84" s="4" t="s">
        <v>113</v>
      </c>
      <c r="C84" s="4" t="s">
        <v>110</v>
      </c>
      <c r="D84" s="4" t="s">
        <v>204</v>
      </c>
      <c r="E84" s="4" t="s">
        <v>234</v>
      </c>
      <c r="F84" s="4" t="s">
        <v>235</v>
      </c>
      <c r="G84" s="4">
        <f>1-555-109</f>
        <v>-663</v>
      </c>
      <c r="H84" s="4" t="s">
        <v>111</v>
      </c>
    </row>
    <row r="85" spans="1:8" ht="38" thickBot="1" x14ac:dyDescent="0.4">
      <c r="A85" s="4" t="s">
        <v>236</v>
      </c>
      <c r="B85" s="4" t="s">
        <v>91</v>
      </c>
      <c r="C85" s="4" t="s">
        <v>76</v>
      </c>
      <c r="D85" s="4" t="s">
        <v>209</v>
      </c>
      <c r="E85" s="4" t="s">
        <v>237</v>
      </c>
      <c r="F85" s="4" t="s">
        <v>238</v>
      </c>
      <c r="G85" s="4">
        <f>1-555-110</f>
        <v>-664</v>
      </c>
      <c r="H85" s="4" t="s">
        <v>89</v>
      </c>
    </row>
    <row r="86" spans="1:8" ht="38" thickBot="1" x14ac:dyDescent="0.4">
      <c r="A86" s="4" t="s">
        <v>239</v>
      </c>
      <c r="B86" s="4" t="s">
        <v>88</v>
      </c>
      <c r="C86" s="4" t="s">
        <v>127</v>
      </c>
      <c r="D86" s="4" t="s">
        <v>204</v>
      </c>
      <c r="E86" s="4" t="s">
        <v>240</v>
      </c>
      <c r="F86" s="4" t="s">
        <v>241</v>
      </c>
      <c r="G86" s="4">
        <f>1-555-111</f>
        <v>-665</v>
      </c>
      <c r="H86" s="4" t="s">
        <v>242</v>
      </c>
    </row>
    <row r="87" spans="1:8" ht="38" thickBot="1" x14ac:dyDescent="0.4">
      <c r="A87" s="4" t="s">
        <v>243</v>
      </c>
      <c r="B87" s="4" t="s">
        <v>85</v>
      </c>
      <c r="C87" s="4" t="s">
        <v>76</v>
      </c>
      <c r="D87" s="4" t="s">
        <v>223</v>
      </c>
      <c r="E87" s="4" t="s">
        <v>244</v>
      </c>
      <c r="F87" s="4" t="s">
        <v>245</v>
      </c>
      <c r="G87" s="4">
        <f>1-555-112</f>
        <v>-666</v>
      </c>
      <c r="H87" s="4" t="s">
        <v>83</v>
      </c>
    </row>
    <row r="88" spans="1:8" ht="38" thickBot="1" x14ac:dyDescent="0.4">
      <c r="A88" s="4" t="s">
        <v>246</v>
      </c>
      <c r="B88" s="4" t="s">
        <v>116</v>
      </c>
      <c r="C88" s="4" t="s">
        <v>110</v>
      </c>
      <c r="D88" s="4" t="s">
        <v>209</v>
      </c>
      <c r="E88" s="4" t="s">
        <v>247</v>
      </c>
      <c r="F88" s="4" t="s">
        <v>248</v>
      </c>
      <c r="G88" s="4">
        <f>1-555-113</f>
        <v>-667</v>
      </c>
      <c r="H88" s="4" t="s">
        <v>114</v>
      </c>
    </row>
    <row r="89" spans="1:8" ht="38" thickBot="1" x14ac:dyDescent="0.4">
      <c r="A89" s="4" t="s">
        <v>249</v>
      </c>
      <c r="B89" s="4" t="s">
        <v>106</v>
      </c>
      <c r="C89" s="4" t="s">
        <v>97</v>
      </c>
      <c r="D89" s="4" t="s">
        <v>223</v>
      </c>
      <c r="E89" s="4" t="s">
        <v>250</v>
      </c>
      <c r="F89" s="4" t="s">
        <v>251</v>
      </c>
      <c r="G89" s="4">
        <f>1-555-114</f>
        <v>-668</v>
      </c>
      <c r="H89" s="4" t="s">
        <v>104</v>
      </c>
    </row>
    <row r="90" spans="1:8" ht="38" thickBot="1" x14ac:dyDescent="0.4">
      <c r="A90" s="4" t="s">
        <v>252</v>
      </c>
      <c r="B90" s="4" t="s">
        <v>126</v>
      </c>
      <c r="C90" s="4" t="s">
        <v>127</v>
      </c>
      <c r="D90" s="4" t="s">
        <v>204</v>
      </c>
      <c r="E90" s="4" t="s">
        <v>253</v>
      </c>
      <c r="F90" s="4" t="s">
        <v>254</v>
      </c>
      <c r="G90" s="4">
        <f>1-555-115</f>
        <v>-669</v>
      </c>
      <c r="H90" s="4" t="s">
        <v>124</v>
      </c>
    </row>
    <row r="91" spans="1:8" x14ac:dyDescent="0.35">
      <c r="A91" s="1"/>
    </row>
    <row r="92" spans="1:8" ht="87.5" x14ac:dyDescent="0.35">
      <c r="A92" s="6" t="s">
        <v>255</v>
      </c>
    </row>
    <row r="93" spans="1:8" ht="15" thickBot="1" x14ac:dyDescent="0.4">
      <c r="A93" s="1"/>
    </row>
    <row r="94" spans="1:8" ht="26.5" thickBot="1" x14ac:dyDescent="0.4">
      <c r="A94" s="3" t="s">
        <v>66</v>
      </c>
      <c r="B94" s="3" t="s">
        <v>256</v>
      </c>
      <c r="C94" s="3" t="s">
        <v>257</v>
      </c>
      <c r="D94" s="3" t="s">
        <v>258</v>
      </c>
      <c r="E94" s="3" t="s">
        <v>259</v>
      </c>
      <c r="F94" s="3" t="s">
        <v>260</v>
      </c>
    </row>
    <row r="95" spans="1:8" ht="25.5" thickBot="1" x14ac:dyDescent="0.4">
      <c r="A95" s="4" t="s">
        <v>75</v>
      </c>
      <c r="B95" s="4" t="s">
        <v>261</v>
      </c>
      <c r="C95" s="4" t="s">
        <v>261</v>
      </c>
      <c r="D95" s="4" t="s">
        <v>262</v>
      </c>
      <c r="E95" s="4" t="s">
        <v>261</v>
      </c>
      <c r="F95" s="4" t="s">
        <v>261</v>
      </c>
    </row>
    <row r="96" spans="1:8" ht="25.5" thickBot="1" x14ac:dyDescent="0.4">
      <c r="A96" s="4" t="s">
        <v>79</v>
      </c>
      <c r="B96" s="4" t="s">
        <v>261</v>
      </c>
      <c r="C96" s="4" t="s">
        <v>263</v>
      </c>
      <c r="D96" s="4" t="s">
        <v>261</v>
      </c>
      <c r="E96" s="4" t="s">
        <v>261</v>
      </c>
      <c r="F96" s="4" t="s">
        <v>261</v>
      </c>
    </row>
    <row r="97" spans="1:7" ht="25.5" thickBot="1" x14ac:dyDescent="0.4">
      <c r="A97" s="4" t="s">
        <v>119</v>
      </c>
      <c r="B97" s="4" t="s">
        <v>261</v>
      </c>
      <c r="C97" s="4" t="s">
        <v>261</v>
      </c>
      <c r="D97" s="4" t="s">
        <v>261</v>
      </c>
      <c r="E97" s="4" t="s">
        <v>264</v>
      </c>
      <c r="F97" s="4" t="s">
        <v>261</v>
      </c>
    </row>
    <row r="98" spans="1:7" ht="38" thickBot="1" x14ac:dyDescent="0.4">
      <c r="A98" s="4" t="s">
        <v>96</v>
      </c>
      <c r="B98" s="4" t="s">
        <v>261</v>
      </c>
      <c r="C98" s="4" t="s">
        <v>261</v>
      </c>
      <c r="D98" s="4" t="s">
        <v>261</v>
      </c>
      <c r="E98" s="4" t="s">
        <v>261</v>
      </c>
      <c r="F98" s="4" t="s">
        <v>265</v>
      </c>
    </row>
    <row r="99" spans="1:7" ht="15" thickBot="1" x14ac:dyDescent="0.4">
      <c r="A99" s="4" t="s">
        <v>123</v>
      </c>
      <c r="B99" s="4" t="s">
        <v>261</v>
      </c>
      <c r="C99" s="4" t="s">
        <v>261</v>
      </c>
      <c r="D99" s="4" t="s">
        <v>261</v>
      </c>
      <c r="E99" s="4" t="s">
        <v>261</v>
      </c>
      <c r="F99" s="4" t="s">
        <v>261</v>
      </c>
    </row>
    <row r="100" spans="1:7" ht="25.5" thickBot="1" x14ac:dyDescent="0.4">
      <c r="A100" s="4" t="s">
        <v>82</v>
      </c>
      <c r="B100" s="4" t="s">
        <v>261</v>
      </c>
      <c r="C100" s="4" t="s">
        <v>266</v>
      </c>
      <c r="D100" s="4" t="s">
        <v>261</v>
      </c>
      <c r="E100" s="4" t="s">
        <v>261</v>
      </c>
      <c r="F100" s="4" t="s">
        <v>261</v>
      </c>
    </row>
    <row r="101" spans="1:7" ht="15" thickBot="1" x14ac:dyDescent="0.4">
      <c r="A101" s="4" t="s">
        <v>100</v>
      </c>
      <c r="B101" s="4" t="s">
        <v>261</v>
      </c>
      <c r="C101" s="4" t="s">
        <v>261</v>
      </c>
      <c r="D101" s="4" t="s">
        <v>261</v>
      </c>
      <c r="E101" s="4" t="s">
        <v>261</v>
      </c>
      <c r="F101" s="4" t="s">
        <v>261</v>
      </c>
    </row>
    <row r="102" spans="1:7" ht="25.5" thickBot="1" x14ac:dyDescent="0.4">
      <c r="A102" s="4" t="s">
        <v>103</v>
      </c>
      <c r="B102" s="4" t="s">
        <v>267</v>
      </c>
      <c r="C102" s="4" t="s">
        <v>261</v>
      </c>
      <c r="D102" s="4" t="s">
        <v>261</v>
      </c>
      <c r="E102" s="4" t="s">
        <v>261</v>
      </c>
      <c r="F102" s="4" t="s">
        <v>261</v>
      </c>
    </row>
    <row r="103" spans="1:7" ht="38" thickBot="1" x14ac:dyDescent="0.4">
      <c r="A103" s="4" t="s">
        <v>113</v>
      </c>
      <c r="B103" s="4" t="s">
        <v>261</v>
      </c>
      <c r="C103" s="4" t="s">
        <v>261</v>
      </c>
      <c r="D103" s="4" t="s">
        <v>262</v>
      </c>
      <c r="E103" s="4" t="s">
        <v>261</v>
      </c>
      <c r="F103" s="4" t="s">
        <v>261</v>
      </c>
    </row>
    <row r="104" spans="1:7" ht="25.5" thickBot="1" x14ac:dyDescent="0.4">
      <c r="A104" s="4" t="s">
        <v>91</v>
      </c>
      <c r="B104" s="4" t="s">
        <v>261</v>
      </c>
      <c r="C104" s="4" t="s">
        <v>261</v>
      </c>
      <c r="D104" s="4" t="s">
        <v>261</v>
      </c>
      <c r="E104" s="4" t="s">
        <v>261</v>
      </c>
      <c r="F104" s="4" t="s">
        <v>268</v>
      </c>
    </row>
    <row r="105" spans="1:7" ht="25.5" thickBot="1" x14ac:dyDescent="0.4">
      <c r="A105" s="4" t="s">
        <v>88</v>
      </c>
      <c r="B105" s="4" t="s">
        <v>261</v>
      </c>
      <c r="C105" s="4" t="s">
        <v>261</v>
      </c>
      <c r="D105" s="4" t="s">
        <v>261</v>
      </c>
      <c r="E105" s="4" t="s">
        <v>269</v>
      </c>
      <c r="F105" s="4" t="s">
        <v>261</v>
      </c>
    </row>
    <row r="106" spans="1:7" ht="25.5" thickBot="1" x14ac:dyDescent="0.4">
      <c r="A106" s="4" t="s">
        <v>85</v>
      </c>
      <c r="B106" s="4" t="s">
        <v>261</v>
      </c>
      <c r="C106" s="4" t="s">
        <v>261</v>
      </c>
      <c r="D106" s="4" t="s">
        <v>261</v>
      </c>
      <c r="E106" s="4" t="s">
        <v>261</v>
      </c>
      <c r="F106" s="4" t="s">
        <v>261</v>
      </c>
    </row>
    <row r="107" spans="1:7" ht="38" thickBot="1" x14ac:dyDescent="0.4">
      <c r="A107" s="4" t="s">
        <v>116</v>
      </c>
      <c r="B107" s="4" t="s">
        <v>261</v>
      </c>
      <c r="C107" s="4" t="s">
        <v>270</v>
      </c>
      <c r="D107" s="4" t="s">
        <v>261</v>
      </c>
      <c r="E107" s="4" t="s">
        <v>261</v>
      </c>
      <c r="F107" s="4" t="s">
        <v>261</v>
      </c>
    </row>
    <row r="108" spans="1:7" ht="25.5" thickBot="1" x14ac:dyDescent="0.4">
      <c r="A108" s="4" t="s">
        <v>106</v>
      </c>
      <c r="B108" s="4" t="s">
        <v>261</v>
      </c>
      <c r="C108" s="4" t="s">
        <v>261</v>
      </c>
      <c r="D108" s="4" t="s">
        <v>261</v>
      </c>
      <c r="E108" s="4" t="s">
        <v>261</v>
      </c>
      <c r="F108" s="4" t="s">
        <v>261</v>
      </c>
    </row>
    <row r="109" spans="1:7" ht="25.5" thickBot="1" x14ac:dyDescent="0.4">
      <c r="A109" s="4" t="s">
        <v>126</v>
      </c>
      <c r="B109" s="4" t="s">
        <v>261</v>
      </c>
      <c r="C109" s="4" t="s">
        <v>261</v>
      </c>
      <c r="D109" s="4" t="s">
        <v>261</v>
      </c>
      <c r="E109" s="4" t="s">
        <v>261</v>
      </c>
      <c r="F109" s="4" t="s">
        <v>261</v>
      </c>
    </row>
    <row r="110" spans="1:7" ht="140" x14ac:dyDescent="0.35">
      <c r="A110" s="2" t="s">
        <v>271</v>
      </c>
    </row>
    <row r="111" spans="1:7" ht="15" thickBot="1" x14ac:dyDescent="0.4">
      <c r="A111" s="1"/>
    </row>
    <row r="112" spans="1:7" ht="26.5" thickBot="1" x14ac:dyDescent="0.4">
      <c r="A112" s="3" t="s">
        <v>272</v>
      </c>
      <c r="B112" s="3" t="s">
        <v>273</v>
      </c>
      <c r="C112" s="3" t="s">
        <v>274</v>
      </c>
      <c r="D112" s="3" t="s">
        <v>275</v>
      </c>
      <c r="E112" s="3" t="s">
        <v>72</v>
      </c>
      <c r="F112" s="3" t="s">
        <v>276</v>
      </c>
      <c r="G112" s="3" t="s">
        <v>277</v>
      </c>
    </row>
    <row r="113" spans="1:7" ht="15" thickBot="1" x14ac:dyDescent="0.4">
      <c r="A113" s="4" t="s">
        <v>278</v>
      </c>
      <c r="B113" s="4" t="s">
        <v>256</v>
      </c>
      <c r="C113" s="7">
        <v>0.375</v>
      </c>
      <c r="D113" s="7">
        <v>0.45833333333333331</v>
      </c>
      <c r="E113" s="4">
        <v>2</v>
      </c>
      <c r="F113" s="4" t="s">
        <v>279</v>
      </c>
      <c r="G113" s="4" t="s">
        <v>280</v>
      </c>
    </row>
    <row r="114" spans="1:7" ht="15" thickBot="1" x14ac:dyDescent="0.4">
      <c r="A114" s="4" t="s">
        <v>281</v>
      </c>
      <c r="B114" s="4" t="s">
        <v>256</v>
      </c>
      <c r="C114" s="7">
        <v>0.45833333333333331</v>
      </c>
      <c r="D114" s="7">
        <v>0.54166666666666663</v>
      </c>
      <c r="E114" s="4">
        <v>2</v>
      </c>
      <c r="F114" s="4" t="s">
        <v>282</v>
      </c>
      <c r="G114" s="4" t="s">
        <v>280</v>
      </c>
    </row>
    <row r="115" spans="1:7" ht="15" thickBot="1" x14ac:dyDescent="0.4">
      <c r="A115" s="4" t="s">
        <v>283</v>
      </c>
      <c r="B115" s="4" t="s">
        <v>256</v>
      </c>
      <c r="C115" s="7">
        <v>0.58333333333333337</v>
      </c>
      <c r="D115" s="7">
        <v>0.66666666666666663</v>
      </c>
      <c r="E115" s="4">
        <v>2</v>
      </c>
      <c r="F115" s="4" t="s">
        <v>284</v>
      </c>
      <c r="G115" s="4" t="s">
        <v>285</v>
      </c>
    </row>
    <row r="116" spans="1:7" ht="15" thickBot="1" x14ac:dyDescent="0.4">
      <c r="A116" s="4" t="s">
        <v>286</v>
      </c>
      <c r="B116" s="4" t="s">
        <v>256</v>
      </c>
      <c r="C116" s="7">
        <v>0.66666666666666663</v>
      </c>
      <c r="D116" s="7">
        <v>0.75</v>
      </c>
      <c r="E116" s="4">
        <v>2</v>
      </c>
      <c r="F116" s="4" t="s">
        <v>287</v>
      </c>
      <c r="G116" s="4" t="s">
        <v>285</v>
      </c>
    </row>
    <row r="117" spans="1:7" ht="15" thickBot="1" x14ac:dyDescent="0.4">
      <c r="A117" s="4" t="s">
        <v>288</v>
      </c>
      <c r="B117" s="4" t="s">
        <v>257</v>
      </c>
      <c r="C117" s="7">
        <v>0.375</v>
      </c>
      <c r="D117" s="7">
        <v>0.45833333333333331</v>
      </c>
      <c r="E117" s="4">
        <v>2</v>
      </c>
      <c r="F117" s="4" t="s">
        <v>289</v>
      </c>
      <c r="G117" s="4" t="s">
        <v>280</v>
      </c>
    </row>
    <row r="118" spans="1:7" ht="15" thickBot="1" x14ac:dyDescent="0.4">
      <c r="A118" s="4" t="s">
        <v>290</v>
      </c>
      <c r="B118" s="4" t="s">
        <v>257</v>
      </c>
      <c r="C118" s="7">
        <v>0.45833333333333331</v>
      </c>
      <c r="D118" s="7">
        <v>0.54166666666666663</v>
      </c>
      <c r="E118" s="4">
        <v>2</v>
      </c>
      <c r="F118" s="4" t="s">
        <v>291</v>
      </c>
      <c r="G118" s="4" t="s">
        <v>280</v>
      </c>
    </row>
    <row r="119" spans="1:7" ht="15" thickBot="1" x14ac:dyDescent="0.4">
      <c r="A119" s="4" t="s">
        <v>292</v>
      </c>
      <c r="B119" s="4" t="s">
        <v>257</v>
      </c>
      <c r="C119" s="7">
        <v>0.58333333333333337</v>
      </c>
      <c r="D119" s="7">
        <v>0.66666666666666663</v>
      </c>
      <c r="E119" s="4">
        <v>2</v>
      </c>
      <c r="F119" s="4" t="s">
        <v>293</v>
      </c>
      <c r="G119" s="4" t="s">
        <v>285</v>
      </c>
    </row>
    <row r="120" spans="1:7" ht="15" thickBot="1" x14ac:dyDescent="0.4">
      <c r="A120" s="4" t="s">
        <v>294</v>
      </c>
      <c r="B120" s="4" t="s">
        <v>257</v>
      </c>
      <c r="C120" s="7">
        <v>0.66666666666666663</v>
      </c>
      <c r="D120" s="7">
        <v>0.75</v>
      </c>
      <c r="E120" s="4">
        <v>2</v>
      </c>
      <c r="F120" s="4" t="s">
        <v>295</v>
      </c>
      <c r="G120" s="4" t="s">
        <v>285</v>
      </c>
    </row>
    <row r="121" spans="1:7" ht="25.5" thickBot="1" x14ac:dyDescent="0.4">
      <c r="A121" s="4" t="s">
        <v>296</v>
      </c>
      <c r="B121" s="4" t="s">
        <v>258</v>
      </c>
      <c r="C121" s="7">
        <v>0.375</v>
      </c>
      <c r="D121" s="7">
        <v>0.45833333333333331</v>
      </c>
      <c r="E121" s="4">
        <v>2</v>
      </c>
      <c r="F121" s="4" t="s">
        <v>297</v>
      </c>
      <c r="G121" s="4" t="s">
        <v>280</v>
      </c>
    </row>
    <row r="122" spans="1:7" ht="25.5" thickBot="1" x14ac:dyDescent="0.4">
      <c r="A122" s="4" t="s">
        <v>298</v>
      </c>
      <c r="B122" s="4" t="s">
        <v>258</v>
      </c>
      <c r="C122" s="7">
        <v>0.45833333333333331</v>
      </c>
      <c r="D122" s="7">
        <v>0.54166666666666663</v>
      </c>
      <c r="E122" s="4">
        <v>2</v>
      </c>
      <c r="F122" s="4" t="s">
        <v>299</v>
      </c>
      <c r="G122" s="4" t="s">
        <v>280</v>
      </c>
    </row>
    <row r="123" spans="1:7" ht="25.5" thickBot="1" x14ac:dyDescent="0.4">
      <c r="A123" s="4" t="s">
        <v>300</v>
      </c>
      <c r="B123" s="4" t="s">
        <v>258</v>
      </c>
      <c r="C123" s="7">
        <v>0.58333333333333337</v>
      </c>
      <c r="D123" s="7">
        <v>0.66666666666666663</v>
      </c>
      <c r="E123" s="4">
        <v>2</v>
      </c>
      <c r="F123" s="4" t="s">
        <v>301</v>
      </c>
      <c r="G123" s="4" t="s">
        <v>285</v>
      </c>
    </row>
    <row r="124" spans="1:7" ht="25.5" thickBot="1" x14ac:dyDescent="0.4">
      <c r="A124" s="4" t="s">
        <v>302</v>
      </c>
      <c r="B124" s="4" t="s">
        <v>258</v>
      </c>
      <c r="C124" s="7">
        <v>0.66666666666666663</v>
      </c>
      <c r="D124" s="7">
        <v>0.75</v>
      </c>
      <c r="E124" s="4">
        <v>2</v>
      </c>
      <c r="F124" s="4" t="s">
        <v>303</v>
      </c>
      <c r="G124" s="4" t="s">
        <v>285</v>
      </c>
    </row>
    <row r="125" spans="1:7" ht="15" thickBot="1" x14ac:dyDescent="0.4">
      <c r="A125" s="4" t="s">
        <v>304</v>
      </c>
      <c r="B125" s="4" t="s">
        <v>259</v>
      </c>
      <c r="C125" s="7">
        <v>0.375</v>
      </c>
      <c r="D125" s="7">
        <v>0.45833333333333331</v>
      </c>
      <c r="E125" s="4">
        <v>2</v>
      </c>
      <c r="F125" s="4" t="s">
        <v>305</v>
      </c>
      <c r="G125" s="4" t="s">
        <v>280</v>
      </c>
    </row>
    <row r="126" spans="1:7" ht="15" thickBot="1" x14ac:dyDescent="0.4">
      <c r="A126" s="4" t="s">
        <v>306</v>
      </c>
      <c r="B126" s="4" t="s">
        <v>259</v>
      </c>
      <c r="C126" s="7">
        <v>0.45833333333333331</v>
      </c>
      <c r="D126" s="7">
        <v>0.54166666666666663</v>
      </c>
      <c r="E126" s="4">
        <v>2</v>
      </c>
      <c r="F126" s="4" t="s">
        <v>307</v>
      </c>
      <c r="G126" s="4" t="s">
        <v>280</v>
      </c>
    </row>
    <row r="127" spans="1:7" ht="15" thickBot="1" x14ac:dyDescent="0.4">
      <c r="A127" s="4" t="s">
        <v>308</v>
      </c>
      <c r="B127" s="4" t="s">
        <v>259</v>
      </c>
      <c r="C127" s="7">
        <v>0.58333333333333337</v>
      </c>
      <c r="D127" s="7">
        <v>0.66666666666666663</v>
      </c>
      <c r="E127" s="4">
        <v>2</v>
      </c>
      <c r="F127" s="4" t="s">
        <v>309</v>
      </c>
      <c r="G127" s="4" t="s">
        <v>285</v>
      </c>
    </row>
    <row r="128" spans="1:7" ht="15" thickBot="1" x14ac:dyDescent="0.4">
      <c r="A128" s="4" t="s">
        <v>310</v>
      </c>
      <c r="B128" s="4" t="s">
        <v>259</v>
      </c>
      <c r="C128" s="7">
        <v>0.66666666666666663</v>
      </c>
      <c r="D128" s="7">
        <v>0.75</v>
      </c>
      <c r="E128" s="4">
        <v>2</v>
      </c>
      <c r="F128" s="4" t="s">
        <v>311</v>
      </c>
      <c r="G128" s="4" t="s">
        <v>285</v>
      </c>
    </row>
    <row r="129" spans="1:7" ht="15" thickBot="1" x14ac:dyDescent="0.4">
      <c r="A129" s="4" t="s">
        <v>312</v>
      </c>
      <c r="B129" s="4" t="s">
        <v>260</v>
      </c>
      <c r="C129" s="7">
        <v>0.375</v>
      </c>
      <c r="D129" s="7">
        <v>0.45833333333333331</v>
      </c>
      <c r="E129" s="4">
        <v>2</v>
      </c>
      <c r="F129" s="4" t="s">
        <v>313</v>
      </c>
      <c r="G129" s="4" t="s">
        <v>280</v>
      </c>
    </row>
    <row r="130" spans="1:7" ht="15" thickBot="1" x14ac:dyDescent="0.4">
      <c r="A130" s="4" t="s">
        <v>314</v>
      </c>
      <c r="B130" s="4" t="s">
        <v>260</v>
      </c>
      <c r="C130" s="7">
        <v>0.45833333333333331</v>
      </c>
      <c r="D130" s="7">
        <v>0.54166666666666663</v>
      </c>
      <c r="E130" s="4">
        <v>2</v>
      </c>
      <c r="F130" s="4" t="s">
        <v>315</v>
      </c>
      <c r="G130" s="4" t="s">
        <v>280</v>
      </c>
    </row>
    <row r="131" spans="1:7" ht="15" thickBot="1" x14ac:dyDescent="0.4">
      <c r="A131" s="4" t="s">
        <v>316</v>
      </c>
      <c r="B131" s="4" t="s">
        <v>260</v>
      </c>
      <c r="C131" s="7">
        <v>0.58333333333333337</v>
      </c>
      <c r="D131" s="7">
        <v>0.66666666666666663</v>
      </c>
      <c r="E131" s="4">
        <v>2</v>
      </c>
      <c r="F131" s="4" t="s">
        <v>317</v>
      </c>
      <c r="G131" s="4" t="s">
        <v>285</v>
      </c>
    </row>
    <row r="132" spans="1:7" ht="15" thickBot="1" x14ac:dyDescent="0.4">
      <c r="A132" s="4" t="s">
        <v>318</v>
      </c>
      <c r="B132" s="4" t="s">
        <v>260</v>
      </c>
      <c r="C132" s="7">
        <v>0.66666666666666663</v>
      </c>
      <c r="D132" s="7">
        <v>0.75</v>
      </c>
      <c r="E132" s="4">
        <v>2</v>
      </c>
      <c r="F132" s="4" t="s">
        <v>319</v>
      </c>
      <c r="G132" s="4" t="s">
        <v>285</v>
      </c>
    </row>
    <row r="133" spans="1:7" ht="160" x14ac:dyDescent="0.35">
      <c r="A133" s="2" t="s">
        <v>320</v>
      </c>
    </row>
    <row r="134" spans="1:7" ht="15" thickBot="1" x14ac:dyDescent="0.4">
      <c r="A134" s="1"/>
    </row>
    <row r="135" spans="1:7" ht="39.5" thickBot="1" x14ac:dyDescent="0.4">
      <c r="A135" s="3" t="s">
        <v>321</v>
      </c>
      <c r="B135" s="3" t="s">
        <v>322</v>
      </c>
      <c r="C135" s="3" t="s">
        <v>139</v>
      </c>
      <c r="D135" s="3" t="s">
        <v>323</v>
      </c>
      <c r="E135" s="3" t="s">
        <v>324</v>
      </c>
      <c r="F135" s="3" t="s">
        <v>325</v>
      </c>
      <c r="G135" s="3" t="s">
        <v>326</v>
      </c>
    </row>
    <row r="136" spans="1:7" ht="50.5" thickBot="1" x14ac:dyDescent="0.4">
      <c r="A136" s="4" t="s">
        <v>327</v>
      </c>
      <c r="B136" s="4" t="s">
        <v>76</v>
      </c>
      <c r="C136" s="4" t="s">
        <v>328</v>
      </c>
      <c r="D136" s="4" t="s">
        <v>75</v>
      </c>
      <c r="E136" s="4">
        <v>5</v>
      </c>
      <c r="F136" s="4">
        <v>7</v>
      </c>
      <c r="G136" s="4">
        <v>321</v>
      </c>
    </row>
    <row r="137" spans="1:7" ht="25.5" thickBot="1" x14ac:dyDescent="0.4">
      <c r="A137" s="4" t="s">
        <v>329</v>
      </c>
      <c r="B137" s="4" t="s">
        <v>97</v>
      </c>
      <c r="C137" s="4" t="s">
        <v>145</v>
      </c>
      <c r="D137" s="4" t="s">
        <v>96</v>
      </c>
      <c r="E137" s="4">
        <v>4</v>
      </c>
      <c r="F137" s="4">
        <v>4</v>
      </c>
      <c r="G137" s="4">
        <v>215</v>
      </c>
    </row>
    <row r="138" spans="1:7" ht="38" thickBot="1" x14ac:dyDescent="0.4">
      <c r="A138" s="4" t="s">
        <v>330</v>
      </c>
      <c r="B138" s="4" t="s">
        <v>110</v>
      </c>
      <c r="C138" s="4" t="s">
        <v>153</v>
      </c>
      <c r="D138" s="4" t="s">
        <v>113</v>
      </c>
      <c r="E138" s="4">
        <v>2</v>
      </c>
      <c r="F138" s="4">
        <v>3</v>
      </c>
      <c r="G138" s="4">
        <v>144</v>
      </c>
    </row>
    <row r="139" spans="1:7" ht="25.5" thickBot="1" x14ac:dyDescent="0.4">
      <c r="A139" s="4" t="s">
        <v>331</v>
      </c>
      <c r="B139" s="4" t="s">
        <v>120</v>
      </c>
      <c r="C139" s="4" t="s">
        <v>153</v>
      </c>
      <c r="D139" s="4" t="s">
        <v>119</v>
      </c>
      <c r="E139" s="4">
        <v>2</v>
      </c>
      <c r="F139" s="4">
        <v>2</v>
      </c>
      <c r="G139" s="4">
        <v>104</v>
      </c>
    </row>
    <row r="140" spans="1:7" ht="25.5" thickBot="1" x14ac:dyDescent="0.4">
      <c r="A140" s="4" t="s">
        <v>332</v>
      </c>
      <c r="B140" s="4" t="s">
        <v>127</v>
      </c>
      <c r="C140" s="4" t="s">
        <v>169</v>
      </c>
      <c r="D140" s="4" t="s">
        <v>88</v>
      </c>
      <c r="E140" s="4">
        <v>2</v>
      </c>
      <c r="F140" s="4">
        <v>4</v>
      </c>
      <c r="G140" s="4">
        <v>161</v>
      </c>
    </row>
    <row r="141" spans="1:7" ht="140" x14ac:dyDescent="0.35">
      <c r="A141" s="2" t="s">
        <v>333</v>
      </c>
    </row>
    <row r="142" spans="1:7" x14ac:dyDescent="0.35">
      <c r="A142" s="1"/>
    </row>
    <row r="143" spans="1:7" ht="140" x14ac:dyDescent="0.35">
      <c r="A143" s="6" t="s">
        <v>334</v>
      </c>
    </row>
    <row r="144" spans="1:7" ht="15" thickBot="1" x14ac:dyDescent="0.4">
      <c r="A144" s="1"/>
    </row>
    <row r="145" spans="1:5" ht="26.5" thickBot="1" x14ac:dyDescent="0.4">
      <c r="A145" s="3" t="s">
        <v>335</v>
      </c>
      <c r="B145" s="3" t="s">
        <v>336</v>
      </c>
      <c r="C145" s="3" t="s">
        <v>337</v>
      </c>
      <c r="D145" s="3" t="s">
        <v>338</v>
      </c>
      <c r="E145" s="3" t="s">
        <v>339</v>
      </c>
    </row>
    <row r="146" spans="1:5" ht="88" thickBot="1" x14ac:dyDescent="0.4">
      <c r="A146" s="4" t="s">
        <v>340</v>
      </c>
      <c r="B146" s="4" t="s">
        <v>341</v>
      </c>
      <c r="C146" s="4" t="s">
        <v>342</v>
      </c>
      <c r="D146" s="4">
        <v>100</v>
      </c>
      <c r="E146" s="4" t="s">
        <v>343</v>
      </c>
    </row>
    <row r="147" spans="1:5" ht="75.5" thickBot="1" x14ac:dyDescent="0.4">
      <c r="A147" s="4" t="s">
        <v>344</v>
      </c>
      <c r="B147" s="4" t="s">
        <v>345</v>
      </c>
      <c r="C147" s="4" t="s">
        <v>346</v>
      </c>
      <c r="D147" s="4">
        <v>100</v>
      </c>
      <c r="E147" s="4" t="s">
        <v>343</v>
      </c>
    </row>
    <row r="148" spans="1:5" ht="75.5" thickBot="1" x14ac:dyDescent="0.4">
      <c r="A148" s="4" t="s">
        <v>347</v>
      </c>
      <c r="B148" s="4" t="s">
        <v>348</v>
      </c>
      <c r="C148" s="4" t="s">
        <v>349</v>
      </c>
      <c r="D148" s="4">
        <v>50</v>
      </c>
      <c r="E148" s="4" t="s">
        <v>343</v>
      </c>
    </row>
    <row r="149" spans="1:5" ht="75.5" thickBot="1" x14ac:dyDescent="0.4">
      <c r="A149" s="4" t="s">
        <v>350</v>
      </c>
      <c r="B149" s="4" t="s">
        <v>351</v>
      </c>
      <c r="C149" s="4" t="s">
        <v>352</v>
      </c>
      <c r="D149" s="4">
        <v>100</v>
      </c>
      <c r="E149" s="4" t="s">
        <v>343</v>
      </c>
    </row>
    <row r="150" spans="1:5" ht="100.5" thickBot="1" x14ac:dyDescent="0.4">
      <c r="A150" s="4" t="s">
        <v>353</v>
      </c>
      <c r="B150" s="4" t="s">
        <v>354</v>
      </c>
      <c r="C150" s="4" t="s">
        <v>355</v>
      </c>
      <c r="D150" s="4">
        <v>75</v>
      </c>
      <c r="E150" s="4" t="s">
        <v>356</v>
      </c>
    </row>
    <row r="151" spans="1:5" x14ac:dyDescent="0.35">
      <c r="A151" s="1"/>
    </row>
    <row r="152" spans="1:5" ht="122.5" x14ac:dyDescent="0.35">
      <c r="A152" s="6" t="s">
        <v>357</v>
      </c>
    </row>
    <row r="153" spans="1:5" ht="15" thickBot="1" x14ac:dyDescent="0.4">
      <c r="A153" s="1"/>
    </row>
    <row r="154" spans="1:5" ht="26.5" thickBot="1" x14ac:dyDescent="0.4">
      <c r="A154" s="3" t="s">
        <v>335</v>
      </c>
      <c r="B154" s="3" t="s">
        <v>336</v>
      </c>
      <c r="C154" s="3" t="s">
        <v>337</v>
      </c>
      <c r="D154" s="3" t="s">
        <v>338</v>
      </c>
      <c r="E154" s="3" t="s">
        <v>339</v>
      </c>
    </row>
    <row r="155" spans="1:5" ht="75.5" thickBot="1" x14ac:dyDescent="0.4">
      <c r="A155" s="4" t="s">
        <v>358</v>
      </c>
      <c r="B155" s="4" t="s">
        <v>359</v>
      </c>
      <c r="C155" s="4" t="s">
        <v>360</v>
      </c>
      <c r="D155" s="4">
        <v>5</v>
      </c>
      <c r="E155" s="4" t="s">
        <v>361</v>
      </c>
    </row>
    <row r="156" spans="1:5" ht="50.5" thickBot="1" x14ac:dyDescent="0.4">
      <c r="A156" s="4" t="s">
        <v>362</v>
      </c>
      <c r="B156" s="4" t="s">
        <v>363</v>
      </c>
      <c r="C156" s="4" t="s">
        <v>364</v>
      </c>
      <c r="D156" s="4">
        <v>3</v>
      </c>
      <c r="E156" s="4" t="s">
        <v>365</v>
      </c>
    </row>
    <row r="157" spans="1:5" ht="50.5" thickBot="1" x14ac:dyDescent="0.4">
      <c r="A157" s="4" t="s">
        <v>366</v>
      </c>
      <c r="B157" s="4" t="s">
        <v>367</v>
      </c>
      <c r="C157" s="4" t="s">
        <v>368</v>
      </c>
      <c r="D157" s="4">
        <v>2</v>
      </c>
      <c r="E157" s="4" t="s">
        <v>365</v>
      </c>
    </row>
    <row r="158" spans="1:5" ht="75.5" thickBot="1" x14ac:dyDescent="0.4">
      <c r="A158" s="4" t="s">
        <v>369</v>
      </c>
      <c r="B158" s="4" t="s">
        <v>370</v>
      </c>
      <c r="C158" s="4" t="s">
        <v>371</v>
      </c>
      <c r="D158" s="4">
        <v>4</v>
      </c>
      <c r="E158" s="4" t="s">
        <v>361</v>
      </c>
    </row>
    <row r="159" spans="1:5" ht="75.5" thickBot="1" x14ac:dyDescent="0.4">
      <c r="A159" s="4" t="s">
        <v>372</v>
      </c>
      <c r="B159" s="4" t="s">
        <v>373</v>
      </c>
      <c r="C159" s="4" t="s">
        <v>374</v>
      </c>
      <c r="D159" s="4">
        <v>3</v>
      </c>
      <c r="E159" s="4" t="s">
        <v>365</v>
      </c>
    </row>
    <row r="160" spans="1:5" ht="260" x14ac:dyDescent="0.35">
      <c r="A160" s="2" t="s">
        <v>375</v>
      </c>
    </row>
    <row r="161" spans="1:6" x14ac:dyDescent="0.35">
      <c r="A161" s="1"/>
    </row>
    <row r="162" spans="1:6" ht="70" x14ac:dyDescent="0.35">
      <c r="A162" s="6" t="s">
        <v>376</v>
      </c>
    </row>
    <row r="163" spans="1:6" ht="15" thickBot="1" x14ac:dyDescent="0.4">
      <c r="A163" s="1"/>
    </row>
    <row r="164" spans="1:6" ht="26.5" thickBot="1" x14ac:dyDescent="0.4">
      <c r="A164" s="3" t="s">
        <v>377</v>
      </c>
      <c r="B164" s="3" t="s">
        <v>378</v>
      </c>
      <c r="C164" s="3" t="s">
        <v>379</v>
      </c>
      <c r="D164" s="3" t="s">
        <v>66</v>
      </c>
      <c r="E164" s="3" t="s">
        <v>68</v>
      </c>
      <c r="F164" s="3" t="s">
        <v>380</v>
      </c>
    </row>
    <row r="165" spans="1:6" ht="25.5" thickBot="1" x14ac:dyDescent="0.4">
      <c r="A165" s="4" t="s">
        <v>381</v>
      </c>
      <c r="B165" s="4" t="s">
        <v>142</v>
      </c>
      <c r="C165" s="4" t="s">
        <v>73</v>
      </c>
      <c r="D165" s="4" t="s">
        <v>75</v>
      </c>
      <c r="E165" s="4">
        <v>45</v>
      </c>
      <c r="F165" s="4" t="s">
        <v>382</v>
      </c>
    </row>
    <row r="166" spans="1:6" ht="25.5" thickBot="1" x14ac:dyDescent="0.4">
      <c r="A166" s="4" t="s">
        <v>381</v>
      </c>
      <c r="B166" s="4" t="s">
        <v>148</v>
      </c>
      <c r="C166" s="4" t="s">
        <v>94</v>
      </c>
      <c r="D166" s="4" t="s">
        <v>96</v>
      </c>
      <c r="E166" s="4">
        <v>68</v>
      </c>
      <c r="F166" s="4" t="s">
        <v>382</v>
      </c>
    </row>
    <row r="167" spans="1:6" ht="25.5" thickBot="1" x14ac:dyDescent="0.4">
      <c r="A167" s="4" t="s">
        <v>381</v>
      </c>
      <c r="B167" s="4" t="s">
        <v>173</v>
      </c>
      <c r="C167" s="4" t="s">
        <v>80</v>
      </c>
      <c r="D167" s="4" t="s">
        <v>82</v>
      </c>
      <c r="E167" s="4">
        <v>52</v>
      </c>
      <c r="F167" s="4" t="s">
        <v>383</v>
      </c>
    </row>
    <row r="168" spans="1:6" ht="25.5" thickBot="1" x14ac:dyDescent="0.4">
      <c r="A168" s="4" t="s">
        <v>384</v>
      </c>
      <c r="B168" s="4" t="s">
        <v>142</v>
      </c>
      <c r="C168" s="4" t="s">
        <v>107</v>
      </c>
      <c r="D168" s="4" t="s">
        <v>109</v>
      </c>
      <c r="E168" s="4">
        <v>72</v>
      </c>
      <c r="F168" s="4" t="s">
        <v>382</v>
      </c>
    </row>
    <row r="169" spans="1:6" ht="25.5" thickBot="1" x14ac:dyDescent="0.4">
      <c r="A169" s="4" t="s">
        <v>384</v>
      </c>
      <c r="B169" s="4" t="s">
        <v>156</v>
      </c>
      <c r="C169" s="4" t="s">
        <v>77</v>
      </c>
      <c r="D169" s="4" t="s">
        <v>79</v>
      </c>
      <c r="E169" s="4">
        <v>38</v>
      </c>
      <c r="F169" s="4" t="s">
        <v>382</v>
      </c>
    </row>
    <row r="170" spans="1:6" ht="25.5" thickBot="1" x14ac:dyDescent="0.4">
      <c r="A170" s="4" t="s">
        <v>384</v>
      </c>
      <c r="B170" s="4" t="s">
        <v>178</v>
      </c>
      <c r="C170" s="4" t="s">
        <v>128</v>
      </c>
      <c r="D170" s="4" t="s">
        <v>96</v>
      </c>
      <c r="E170" s="4">
        <v>39</v>
      </c>
      <c r="F170" s="4" t="s">
        <v>383</v>
      </c>
    </row>
    <row r="171" spans="1:6" ht="25.5" thickBot="1" x14ac:dyDescent="0.4">
      <c r="A171" s="4" t="s">
        <v>385</v>
      </c>
      <c r="B171" s="4" t="s">
        <v>159</v>
      </c>
      <c r="C171" s="4" t="s">
        <v>98</v>
      </c>
      <c r="D171" s="4" t="s">
        <v>100</v>
      </c>
      <c r="E171" s="4">
        <v>55</v>
      </c>
      <c r="F171" s="4" t="s">
        <v>382</v>
      </c>
    </row>
    <row r="172" spans="1:6" ht="25.5" thickBot="1" x14ac:dyDescent="0.4">
      <c r="A172" s="4" t="s">
        <v>385</v>
      </c>
      <c r="B172" s="4" t="s">
        <v>161</v>
      </c>
      <c r="C172" s="4" t="s">
        <v>124</v>
      </c>
      <c r="D172" s="4" t="s">
        <v>126</v>
      </c>
      <c r="E172" s="4">
        <v>44</v>
      </c>
      <c r="F172" s="4" t="s">
        <v>382</v>
      </c>
    </row>
    <row r="173" spans="1:6" ht="38" thickBot="1" x14ac:dyDescent="0.4">
      <c r="A173" s="4" t="s">
        <v>385</v>
      </c>
      <c r="B173" s="4" t="s">
        <v>181</v>
      </c>
      <c r="C173" s="4" t="s">
        <v>111</v>
      </c>
      <c r="D173" s="4" t="s">
        <v>113</v>
      </c>
      <c r="E173" s="4">
        <v>34</v>
      </c>
      <c r="F173" s="4" t="s">
        <v>383</v>
      </c>
    </row>
    <row r="174" spans="1:6" ht="25.5" thickBot="1" x14ac:dyDescent="0.4">
      <c r="A174" s="4" t="s">
        <v>386</v>
      </c>
      <c r="B174" s="4" t="s">
        <v>165</v>
      </c>
      <c r="C174" s="4" t="s">
        <v>101</v>
      </c>
      <c r="D174" s="4" t="s">
        <v>103</v>
      </c>
      <c r="E174" s="4">
        <v>42</v>
      </c>
      <c r="F174" s="4" t="s">
        <v>382</v>
      </c>
    </row>
    <row r="175" spans="1:6" x14ac:dyDescent="0.35">
      <c r="A175" s="1"/>
    </row>
    <row r="176" spans="1:6" ht="70" x14ac:dyDescent="0.35">
      <c r="A176" s="6" t="s">
        <v>387</v>
      </c>
    </row>
    <row r="177" spans="1:6" ht="15" thickBot="1" x14ac:dyDescent="0.4">
      <c r="A177" s="1"/>
    </row>
    <row r="178" spans="1:6" ht="26.5" thickBot="1" x14ac:dyDescent="0.4">
      <c r="A178" s="3" t="s">
        <v>377</v>
      </c>
      <c r="B178" s="3" t="s">
        <v>378</v>
      </c>
      <c r="C178" s="3" t="s">
        <v>379</v>
      </c>
      <c r="D178" s="3" t="s">
        <v>66</v>
      </c>
      <c r="E178" s="3" t="s">
        <v>68</v>
      </c>
      <c r="F178" s="3" t="s">
        <v>380</v>
      </c>
    </row>
    <row r="179" spans="1:6" ht="25.5" thickBot="1" x14ac:dyDescent="0.4">
      <c r="A179" s="4" t="s">
        <v>381</v>
      </c>
      <c r="B179" s="4" t="s">
        <v>142</v>
      </c>
      <c r="C179" s="4" t="s">
        <v>83</v>
      </c>
      <c r="D179" s="4" t="s">
        <v>85</v>
      </c>
      <c r="E179" s="4">
        <v>41</v>
      </c>
      <c r="F179" s="4" t="s">
        <v>382</v>
      </c>
    </row>
    <row r="180" spans="1:6" ht="25.5" thickBot="1" x14ac:dyDescent="0.4">
      <c r="A180" s="4" t="s">
        <v>381</v>
      </c>
      <c r="B180" s="4" t="s">
        <v>148</v>
      </c>
      <c r="C180" s="4" t="s">
        <v>117</v>
      </c>
      <c r="D180" s="4" t="s">
        <v>119</v>
      </c>
      <c r="E180" s="4">
        <v>58</v>
      </c>
      <c r="F180" s="4" t="s">
        <v>382</v>
      </c>
    </row>
    <row r="181" spans="1:6" ht="25.5" thickBot="1" x14ac:dyDescent="0.4">
      <c r="A181" s="4" t="s">
        <v>381</v>
      </c>
      <c r="B181" s="4" t="s">
        <v>156</v>
      </c>
      <c r="C181" s="4" t="s">
        <v>86</v>
      </c>
      <c r="D181" s="4" t="s">
        <v>88</v>
      </c>
      <c r="E181" s="4">
        <v>35</v>
      </c>
      <c r="F181" s="4" t="s">
        <v>382</v>
      </c>
    </row>
    <row r="182" spans="1:6" ht="25.5" thickBot="1" x14ac:dyDescent="0.4">
      <c r="A182" s="4" t="s">
        <v>384</v>
      </c>
      <c r="B182" s="4" t="s">
        <v>142</v>
      </c>
      <c r="C182" s="4" t="s">
        <v>94</v>
      </c>
      <c r="D182" s="4" t="s">
        <v>96</v>
      </c>
      <c r="E182" s="4">
        <v>68</v>
      </c>
      <c r="F182" s="4" t="s">
        <v>382</v>
      </c>
    </row>
    <row r="183" spans="1:6" ht="25.5" thickBot="1" x14ac:dyDescent="0.4">
      <c r="A183" s="4" t="s">
        <v>384</v>
      </c>
      <c r="B183" s="4" t="s">
        <v>159</v>
      </c>
      <c r="C183" s="4" t="s">
        <v>89</v>
      </c>
      <c r="D183" s="4" t="s">
        <v>91</v>
      </c>
      <c r="E183" s="4">
        <v>48</v>
      </c>
      <c r="F183" s="4" t="s">
        <v>382</v>
      </c>
    </row>
    <row r="184" spans="1:6" ht="25.5" thickBot="1" x14ac:dyDescent="0.4">
      <c r="A184" s="4" t="s">
        <v>384</v>
      </c>
      <c r="B184" s="4" t="s">
        <v>173</v>
      </c>
      <c r="C184" s="4" t="s">
        <v>80</v>
      </c>
      <c r="D184" s="4" t="s">
        <v>82</v>
      </c>
      <c r="E184" s="4">
        <v>52</v>
      </c>
      <c r="F184" s="4" t="s">
        <v>383</v>
      </c>
    </row>
    <row r="185" spans="1:6" ht="25.5" thickBot="1" x14ac:dyDescent="0.4">
      <c r="A185" s="4" t="s">
        <v>385</v>
      </c>
      <c r="B185" s="4" t="s">
        <v>148</v>
      </c>
      <c r="C185" s="4" t="s">
        <v>107</v>
      </c>
      <c r="D185" s="4" t="s">
        <v>109</v>
      </c>
      <c r="E185" s="4">
        <v>72</v>
      </c>
      <c r="F185" s="4" t="s">
        <v>382</v>
      </c>
    </row>
    <row r="186" spans="1:6" ht="25.5" thickBot="1" x14ac:dyDescent="0.4">
      <c r="A186" s="4" t="s">
        <v>385</v>
      </c>
      <c r="B186" s="4" t="s">
        <v>161</v>
      </c>
      <c r="C186" s="4" t="s">
        <v>98</v>
      </c>
      <c r="D186" s="4" t="s">
        <v>100</v>
      </c>
      <c r="E186" s="4">
        <v>55</v>
      </c>
      <c r="F186" s="4" t="s">
        <v>382</v>
      </c>
    </row>
    <row r="187" spans="1:6" ht="25.5" thickBot="1" x14ac:dyDescent="0.4">
      <c r="A187" s="4" t="s">
        <v>385</v>
      </c>
      <c r="B187" s="4" t="s">
        <v>165</v>
      </c>
      <c r="C187" s="4" t="s">
        <v>77</v>
      </c>
      <c r="D187" s="4" t="s">
        <v>79</v>
      </c>
      <c r="E187" s="4">
        <v>38</v>
      </c>
      <c r="F187" s="4" t="s">
        <v>388</v>
      </c>
    </row>
    <row r="188" spans="1:6" ht="25.5" thickBot="1" x14ac:dyDescent="0.4">
      <c r="A188" s="4" t="s">
        <v>386</v>
      </c>
      <c r="B188" s="4" t="s">
        <v>167</v>
      </c>
      <c r="C188" s="4" t="s">
        <v>124</v>
      </c>
      <c r="D188" s="4" t="s">
        <v>126</v>
      </c>
      <c r="E188" s="4">
        <v>44</v>
      </c>
      <c r="F188" s="4" t="s">
        <v>388</v>
      </c>
    </row>
    <row r="189" spans="1:6" x14ac:dyDescent="0.35">
      <c r="A189" s="1"/>
    </row>
    <row r="190" spans="1:6" ht="70" x14ac:dyDescent="0.35">
      <c r="A190" s="6" t="s">
        <v>389</v>
      </c>
    </row>
    <row r="191" spans="1:6" ht="15" thickBot="1" x14ac:dyDescent="0.4">
      <c r="A191" s="1"/>
    </row>
    <row r="192" spans="1:6" ht="26.5" thickBot="1" x14ac:dyDescent="0.4">
      <c r="A192" s="3" t="s">
        <v>377</v>
      </c>
      <c r="B192" s="3" t="s">
        <v>378</v>
      </c>
      <c r="C192" s="3" t="s">
        <v>379</v>
      </c>
      <c r="D192" s="3" t="s">
        <v>66</v>
      </c>
      <c r="E192" s="3" t="s">
        <v>68</v>
      </c>
      <c r="F192" s="3" t="s">
        <v>380</v>
      </c>
    </row>
    <row r="193" spans="1:6" ht="25.5" thickBot="1" x14ac:dyDescent="0.4">
      <c r="A193" s="4" t="s">
        <v>381</v>
      </c>
      <c r="B193" s="4" t="s">
        <v>142</v>
      </c>
      <c r="C193" s="4" t="s">
        <v>89</v>
      </c>
      <c r="D193" s="4" t="s">
        <v>91</v>
      </c>
      <c r="E193" s="4">
        <v>48</v>
      </c>
      <c r="F193" s="4" t="s">
        <v>382</v>
      </c>
    </row>
    <row r="194" spans="1:6" ht="25.5" thickBot="1" x14ac:dyDescent="0.4">
      <c r="A194" s="4" t="s">
        <v>381</v>
      </c>
      <c r="B194" s="4" t="s">
        <v>151</v>
      </c>
      <c r="C194" s="4" t="s">
        <v>107</v>
      </c>
      <c r="D194" s="4" t="s">
        <v>109</v>
      </c>
      <c r="E194" s="4">
        <v>72</v>
      </c>
      <c r="F194" s="4" t="s">
        <v>388</v>
      </c>
    </row>
    <row r="195" spans="1:6" ht="25.5" thickBot="1" x14ac:dyDescent="0.4">
      <c r="A195" s="4" t="s">
        <v>381</v>
      </c>
      <c r="B195" s="4" t="s">
        <v>156</v>
      </c>
      <c r="C195" s="4" t="s">
        <v>73</v>
      </c>
      <c r="D195" s="4" t="s">
        <v>75</v>
      </c>
      <c r="E195" s="4">
        <v>45</v>
      </c>
      <c r="F195" s="4" t="s">
        <v>388</v>
      </c>
    </row>
    <row r="196" spans="1:6" ht="25.5" thickBot="1" x14ac:dyDescent="0.4">
      <c r="A196" s="4" t="s">
        <v>384</v>
      </c>
      <c r="B196" s="4" t="s">
        <v>148</v>
      </c>
      <c r="C196" s="4" t="s">
        <v>117</v>
      </c>
      <c r="D196" s="4" t="s">
        <v>119</v>
      </c>
      <c r="E196" s="4">
        <v>58</v>
      </c>
      <c r="F196" s="4" t="s">
        <v>382</v>
      </c>
    </row>
    <row r="197" spans="1:6" ht="25.5" thickBot="1" x14ac:dyDescent="0.4">
      <c r="A197" s="4" t="s">
        <v>384</v>
      </c>
      <c r="B197" s="4" t="s">
        <v>159</v>
      </c>
      <c r="C197" s="4" t="s">
        <v>83</v>
      </c>
      <c r="D197" s="4" t="s">
        <v>85</v>
      </c>
      <c r="E197" s="4">
        <v>41</v>
      </c>
      <c r="F197" s="4" t="s">
        <v>388</v>
      </c>
    </row>
    <row r="198" spans="1:6" ht="25.5" thickBot="1" x14ac:dyDescent="0.4">
      <c r="A198" s="4" t="s">
        <v>384</v>
      </c>
      <c r="B198" s="4" t="s">
        <v>184</v>
      </c>
      <c r="C198" s="4" t="s">
        <v>117</v>
      </c>
      <c r="D198" s="4" t="s">
        <v>119</v>
      </c>
      <c r="E198" s="4">
        <v>58</v>
      </c>
      <c r="F198" s="4" t="s">
        <v>383</v>
      </c>
    </row>
    <row r="199" spans="1:6" ht="25.5" thickBot="1" x14ac:dyDescent="0.4">
      <c r="A199" s="4" t="s">
        <v>385</v>
      </c>
      <c r="B199" s="4" t="s">
        <v>161</v>
      </c>
      <c r="C199" s="4" t="s">
        <v>101</v>
      </c>
      <c r="D199" s="4" t="s">
        <v>103</v>
      </c>
      <c r="E199" s="4">
        <v>42</v>
      </c>
      <c r="F199" s="4" t="s">
        <v>388</v>
      </c>
    </row>
    <row r="200" spans="1:6" ht="25.5" thickBot="1" x14ac:dyDescent="0.4">
      <c r="A200" s="4" t="s">
        <v>385</v>
      </c>
      <c r="B200" s="4" t="s">
        <v>165</v>
      </c>
      <c r="C200" s="4" t="s">
        <v>86</v>
      </c>
      <c r="D200" s="4" t="s">
        <v>88</v>
      </c>
      <c r="E200" s="4">
        <v>35</v>
      </c>
      <c r="F200" s="4" t="s">
        <v>388</v>
      </c>
    </row>
    <row r="201" spans="1:6" ht="25.5" thickBot="1" x14ac:dyDescent="0.4">
      <c r="A201" s="4" t="s">
        <v>385</v>
      </c>
      <c r="B201" s="4" t="s">
        <v>173</v>
      </c>
      <c r="C201" s="4" t="s">
        <v>128</v>
      </c>
      <c r="D201" s="4" t="s">
        <v>96</v>
      </c>
      <c r="E201" s="4">
        <v>39</v>
      </c>
      <c r="F201" s="4" t="s">
        <v>383</v>
      </c>
    </row>
    <row r="202" spans="1:6" ht="38" thickBot="1" x14ac:dyDescent="0.4">
      <c r="A202" s="4" t="s">
        <v>386</v>
      </c>
      <c r="B202" s="4" t="s">
        <v>167</v>
      </c>
      <c r="C202" s="4" t="s">
        <v>111</v>
      </c>
      <c r="D202" s="4" t="s">
        <v>113</v>
      </c>
      <c r="E202" s="4">
        <v>34</v>
      </c>
      <c r="F202" s="4" t="s">
        <v>382</v>
      </c>
    </row>
    <row r="203" spans="1:6" x14ac:dyDescent="0.35">
      <c r="A203" s="1"/>
    </row>
    <row r="204" spans="1:6" ht="70" x14ac:dyDescent="0.35">
      <c r="A204" s="6" t="s">
        <v>390</v>
      </c>
    </row>
    <row r="205" spans="1:6" ht="15" thickBot="1" x14ac:dyDescent="0.4">
      <c r="A205" s="1"/>
    </row>
    <row r="206" spans="1:6" ht="26.5" thickBot="1" x14ac:dyDescent="0.4">
      <c r="A206" s="3" t="s">
        <v>377</v>
      </c>
      <c r="B206" s="3" t="s">
        <v>378</v>
      </c>
      <c r="C206" s="3" t="s">
        <v>379</v>
      </c>
      <c r="D206" s="3" t="s">
        <v>66</v>
      </c>
      <c r="E206" s="3" t="s">
        <v>68</v>
      </c>
      <c r="F206" s="3" t="s">
        <v>380</v>
      </c>
    </row>
    <row r="207" spans="1:6" ht="25.5" thickBot="1" x14ac:dyDescent="0.4">
      <c r="A207" s="4" t="s">
        <v>381</v>
      </c>
      <c r="B207" s="4" t="s">
        <v>142</v>
      </c>
      <c r="C207" s="4" t="s">
        <v>94</v>
      </c>
      <c r="D207" s="4" t="s">
        <v>96</v>
      </c>
      <c r="E207" s="4">
        <v>68</v>
      </c>
      <c r="F207" s="4" t="s">
        <v>388</v>
      </c>
    </row>
    <row r="208" spans="1:6" ht="25.5" thickBot="1" x14ac:dyDescent="0.4">
      <c r="A208" s="4" t="s">
        <v>381</v>
      </c>
      <c r="B208" s="4" t="s">
        <v>156</v>
      </c>
      <c r="C208" s="4" t="s">
        <v>89</v>
      </c>
      <c r="D208" s="4" t="s">
        <v>91</v>
      </c>
      <c r="E208" s="4">
        <v>48</v>
      </c>
      <c r="F208" s="4" t="s">
        <v>388</v>
      </c>
    </row>
    <row r="209" spans="1:6" ht="25.5" thickBot="1" x14ac:dyDescent="0.4">
      <c r="A209" s="4" t="s">
        <v>381</v>
      </c>
      <c r="B209" s="4" t="s">
        <v>159</v>
      </c>
      <c r="C209" s="4" t="s">
        <v>128</v>
      </c>
      <c r="D209" s="4" t="s">
        <v>96</v>
      </c>
      <c r="E209" s="4">
        <v>39</v>
      </c>
      <c r="F209" s="4" t="s">
        <v>382</v>
      </c>
    </row>
    <row r="210" spans="1:6" ht="25.5" thickBot="1" x14ac:dyDescent="0.4">
      <c r="A210" s="4" t="s">
        <v>384</v>
      </c>
      <c r="B210" s="4" t="s">
        <v>148</v>
      </c>
      <c r="C210" s="4" t="s">
        <v>80</v>
      </c>
      <c r="D210" s="4" t="s">
        <v>82</v>
      </c>
      <c r="E210" s="4">
        <v>52</v>
      </c>
      <c r="F210" s="4" t="s">
        <v>382</v>
      </c>
    </row>
    <row r="211" spans="1:6" ht="25.5" thickBot="1" x14ac:dyDescent="0.4">
      <c r="A211" s="4" t="s">
        <v>384</v>
      </c>
      <c r="B211" s="4" t="s">
        <v>161</v>
      </c>
      <c r="C211" s="4" t="s">
        <v>98</v>
      </c>
      <c r="D211" s="4" t="s">
        <v>100</v>
      </c>
      <c r="E211" s="4">
        <v>55</v>
      </c>
      <c r="F211" s="4" t="s">
        <v>388</v>
      </c>
    </row>
    <row r="212" spans="1:6" ht="25.5" thickBot="1" x14ac:dyDescent="0.4">
      <c r="A212" s="4" t="s">
        <v>384</v>
      </c>
      <c r="B212" s="4" t="s">
        <v>165</v>
      </c>
      <c r="C212" s="4" t="s">
        <v>77</v>
      </c>
      <c r="D212" s="4" t="s">
        <v>79</v>
      </c>
      <c r="E212" s="4">
        <v>38</v>
      </c>
      <c r="F212" s="4" t="s">
        <v>388</v>
      </c>
    </row>
    <row r="213" spans="1:6" ht="25.5" thickBot="1" x14ac:dyDescent="0.4">
      <c r="A213" s="4" t="s">
        <v>385</v>
      </c>
      <c r="B213" s="4" t="s">
        <v>142</v>
      </c>
      <c r="C213" s="4" t="s">
        <v>107</v>
      </c>
      <c r="D213" s="4" t="s">
        <v>109</v>
      </c>
      <c r="E213" s="4">
        <v>72</v>
      </c>
      <c r="F213" s="4" t="s">
        <v>388</v>
      </c>
    </row>
    <row r="214" spans="1:6" ht="25.5" thickBot="1" x14ac:dyDescent="0.4">
      <c r="A214" s="4" t="s">
        <v>385</v>
      </c>
      <c r="B214" s="4" t="s">
        <v>167</v>
      </c>
      <c r="C214" s="4" t="s">
        <v>101</v>
      </c>
      <c r="D214" s="4" t="s">
        <v>103</v>
      </c>
      <c r="E214" s="4">
        <v>42</v>
      </c>
      <c r="F214" s="4" t="s">
        <v>382</v>
      </c>
    </row>
    <row r="215" spans="1:6" ht="38" thickBot="1" x14ac:dyDescent="0.4">
      <c r="A215" s="4" t="s">
        <v>385</v>
      </c>
      <c r="B215" s="4" t="s">
        <v>181</v>
      </c>
      <c r="C215" s="4" t="s">
        <v>111</v>
      </c>
      <c r="D215" s="4" t="s">
        <v>113</v>
      </c>
      <c r="E215" s="4">
        <v>34</v>
      </c>
      <c r="F215" s="4" t="s">
        <v>383</v>
      </c>
    </row>
    <row r="216" spans="1:6" ht="25.5" thickBot="1" x14ac:dyDescent="0.4">
      <c r="A216" s="4" t="s">
        <v>386</v>
      </c>
      <c r="B216" s="4" t="s">
        <v>156</v>
      </c>
      <c r="C216" s="4" t="s">
        <v>83</v>
      </c>
      <c r="D216" s="4" t="s">
        <v>85</v>
      </c>
      <c r="E216" s="4">
        <v>41</v>
      </c>
      <c r="F216" s="4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Naveed Ahmed</dc:creator>
  <cp:lastModifiedBy>Naveed Ahmed</cp:lastModifiedBy>
  <dcterms:created xsi:type="dcterms:W3CDTF">2025-11-16T12:30:10Z</dcterms:created>
  <dcterms:modified xsi:type="dcterms:W3CDTF">2025-11-16T12:35:12Z</dcterms:modified>
</cp:coreProperties>
</file>